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3bmconl.sharepoint.com/sites/3BM/Gedeelde documenten/3BM Sharepoint/50_projecten/7_3BM_bouwkunde/000_revit/02_dynamo/scripts_GIS/LIJSTEN/"/>
    </mc:Choice>
  </mc:AlternateContent>
  <xr:revisionPtr revIDLastSave="90" documentId="13_ncr:1_{A90FFE00-E5CC-4E3F-BD97-C1E8CD9F403B}" xr6:coauthVersionLast="47" xr6:coauthVersionMax="47" xr10:uidLastSave="{D8DB2037-D6E9-4BDE-8084-383CC71DF547}"/>
  <bookViews>
    <workbookView xWindow="38280" yWindow="-120" windowWidth="38640" windowHeight="21120" tabRatio="614" activeTab="6" xr2:uid="{00000000-000D-0000-FFFF-FFFF00000000}"/>
  </bookViews>
  <sheets>
    <sheet name="Samenvatting" sheetId="5" r:id="rId1"/>
    <sheet name="Stichtingskosten" sheetId="3" r:id="rId2"/>
    <sheet name="Opbrengsten" sheetId="4" r:id="rId3"/>
    <sheet name="Blad4" sheetId="38" state="hidden" r:id="rId4"/>
    <sheet name="revit_input_test" sheetId="40" r:id="rId5"/>
    <sheet name="revit_input_draaitabel" sheetId="42" r:id="rId6"/>
    <sheet name="kleuren" sheetId="48" r:id="rId7"/>
    <sheet name="efficientie" sheetId="6" r:id="rId8"/>
    <sheet name="NIET_MEER_GEBRUIKEN" sheetId="47" r:id="rId9"/>
  </sheets>
  <functionGroups builtInGroupCount="19"/>
  <definedNames>
    <definedName name="draaitabel_typologie_type">revit_input_draaitabel!$A$30:$I$36</definedName>
    <definedName name="input_revit_groot">revit_input_test!$A:$H</definedName>
    <definedName name="koop">#REF!</definedName>
    <definedName name="koop_segment">#REF!</definedName>
    <definedName name="_xlnm.Print_Area" localSheetId="7">efficientie!$A$1:$S$44</definedName>
    <definedName name="_xlnm.Print_Area" localSheetId="8">NIET_MEER_GEBRUIKEN!$A$1:$R$44</definedName>
    <definedName name="_xlnm.Print_Area" localSheetId="2">Opbrengsten!$B$2:$L$82</definedName>
    <definedName name="_xlnm.Print_Area" localSheetId="0">Samenvatting!$A$1:$U$113</definedName>
    <definedName name="_xlnm.Print_Area" localSheetId="1">Stichtingskosten!$B$2:$J$105</definedName>
    <definedName name="revit">#REF!</definedName>
    <definedName name="revit_input">revit_input_test!$A$2:$R$988</definedName>
    <definedName name="typology_naam">efficientie!$1:$1</definedName>
    <definedName name="typology_rgb">efficientie!$11:$11</definedName>
  </definedNames>
  <calcPr calcId="191029"/>
  <pivotCaches>
    <pivotCache cacheId="0" r:id="rId10"/>
    <pivotCache cacheId="1" r:id="rId11"/>
    <pivotCache cacheId="2" r:id="rId12"/>
    <pivotCache cacheId="3" r:id="rId13"/>
    <pivotCache cacheId="4" r:id="rId14"/>
    <pivotCache cacheId="5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3" i="48" l="1"/>
  <c r="G14" i="48"/>
  <c r="G15" i="48"/>
  <c r="G16" i="48"/>
  <c r="G17" i="48"/>
  <c r="G18" i="48"/>
  <c r="G19" i="48"/>
  <c r="G20" i="48"/>
  <c r="G21" i="48"/>
  <c r="G12" i="48"/>
  <c r="F2" i="48" a="1"/>
  <c r="F5" i="48" a="1"/>
  <c r="F7" i="48" a="1"/>
  <c r="F8" i="48" a="1"/>
  <c r="F4" i="48" a="1"/>
  <c r="F3" i="48" a="1"/>
  <c r="F9" i="48" a="1"/>
  <c r="F10" i="48" a="1"/>
  <c r="F13" i="48" a="1"/>
  <c r="F14" i="48" a="1"/>
  <c r="F15" i="48" a="1"/>
  <c r="F16" i="48" a="1"/>
  <c r="F17" i="48" a="1"/>
  <c r="F18" i="48" a="1"/>
  <c r="F19" i="48" a="1"/>
  <c r="F20" i="48" a="1"/>
  <c r="F21" i="48" a="1"/>
  <c r="F12" i="48" a="1"/>
  <c r="F9" i="48" l="1"/>
  <c r="F3" i="48"/>
  <c r="F4" i="48"/>
  <c r="F8" i="48"/>
  <c r="F7" i="48"/>
  <c r="F5" i="48"/>
  <c r="F2" i="48"/>
  <c r="F10" i="48"/>
  <c r="F21" i="48"/>
  <c r="F20" i="48"/>
  <c r="F19" i="48"/>
  <c r="F18" i="48"/>
  <c r="F17" i="48"/>
  <c r="F16" i="48"/>
  <c r="F15" i="48"/>
  <c r="F14" i="48"/>
  <c r="F13" i="48"/>
  <c r="F12" i="48"/>
  <c r="C13" i="48" a="1"/>
  <c r="C13" i="48" s="1"/>
  <c r="C14" i="48" a="1"/>
  <c r="C14" i="48" s="1"/>
  <c r="C15" i="48" a="1"/>
  <c r="C15" i="48" s="1"/>
  <c r="C16" i="48" a="1"/>
  <c r="C16" i="48" s="1"/>
  <c r="C17" i="48" a="1"/>
  <c r="C17" i="48" s="1"/>
  <c r="C18" i="48" a="1"/>
  <c r="C18" i="48" s="1"/>
  <c r="C19" i="48" a="1"/>
  <c r="C19" i="48" s="1"/>
  <c r="C20" i="48" a="1"/>
  <c r="C20" i="48" s="1"/>
  <c r="C21" i="48" a="1"/>
  <c r="C21" i="48" s="1"/>
  <c r="C12" i="48" a="1"/>
  <c r="C12" i="48" s="1"/>
  <c r="B21" i="48"/>
  <c r="B20" i="48"/>
  <c r="B19" i="48"/>
  <c r="B18" i="48"/>
  <c r="B17" i="48"/>
  <c r="B16" i="48"/>
  <c r="B15" i="48"/>
  <c r="B14" i="48"/>
  <c r="B13" i="48"/>
  <c r="B12" i="48"/>
  <c r="K49" i="4"/>
  <c r="K50" i="4"/>
  <c r="D9" i="5"/>
  <c r="R6" i="40"/>
  <c r="R7" i="40"/>
  <c r="R8" i="40"/>
  <c r="R9" i="40"/>
  <c r="R10" i="40"/>
  <c r="R11" i="40"/>
  <c r="R12" i="40"/>
  <c r="R13" i="40"/>
  <c r="R14" i="40"/>
  <c r="R15" i="40"/>
  <c r="R16" i="40"/>
  <c r="R17" i="40"/>
  <c r="R18" i="40"/>
  <c r="R19" i="40"/>
  <c r="R20" i="40"/>
  <c r="R21" i="40"/>
  <c r="R22" i="40"/>
  <c r="R23" i="40"/>
  <c r="R24" i="40"/>
  <c r="R25" i="40"/>
  <c r="R26" i="40"/>
  <c r="R27" i="40"/>
  <c r="R28" i="40"/>
  <c r="R29" i="40"/>
  <c r="R30" i="40"/>
  <c r="R31" i="40"/>
  <c r="R32" i="40"/>
  <c r="R33" i="40"/>
  <c r="R34" i="40"/>
  <c r="R35" i="40"/>
  <c r="R36" i="40"/>
  <c r="R37" i="40"/>
  <c r="R38" i="40"/>
  <c r="R39" i="40"/>
  <c r="R40" i="40"/>
  <c r="R41" i="40"/>
  <c r="R42" i="40"/>
  <c r="R43" i="40"/>
  <c r="R44" i="40"/>
  <c r="R45" i="40"/>
  <c r="R46" i="40"/>
  <c r="R47" i="40"/>
  <c r="R48" i="40"/>
  <c r="R49" i="40"/>
  <c r="R50" i="40"/>
  <c r="R51" i="40"/>
  <c r="R52" i="40"/>
  <c r="R53" i="40"/>
  <c r="R54" i="40"/>
  <c r="R55" i="40"/>
  <c r="R56" i="40"/>
  <c r="R57" i="40"/>
  <c r="R58" i="40"/>
  <c r="R4" i="40"/>
  <c r="E66" i="4"/>
  <c r="E67" i="4"/>
  <c r="E68" i="4"/>
  <c r="L66" i="4"/>
  <c r="L67" i="4"/>
  <c r="L68" i="4"/>
  <c r="T100" i="47" l="1"/>
  <c r="T99" i="47"/>
  <c r="T98" i="47"/>
  <c r="T97" i="47"/>
  <c r="T96" i="47"/>
  <c r="T95" i="47"/>
  <c r="T94" i="47"/>
  <c r="T93" i="47"/>
  <c r="T92" i="47"/>
  <c r="T91" i="47"/>
  <c r="T90" i="47"/>
  <c r="T89" i="47"/>
  <c r="T88" i="47"/>
  <c r="T87" i="47"/>
  <c r="T86" i="47"/>
  <c r="T85" i="47"/>
  <c r="T84" i="47"/>
  <c r="T83" i="47"/>
  <c r="T82" i="47"/>
  <c r="T81" i="47"/>
  <c r="T80" i="47"/>
  <c r="T79" i="47"/>
  <c r="T78" i="47"/>
  <c r="T77" i="47"/>
  <c r="T76" i="47"/>
  <c r="T75" i="47"/>
  <c r="T74" i="47"/>
  <c r="T73" i="47"/>
  <c r="T72" i="47"/>
  <c r="T71" i="47"/>
  <c r="T70" i="47"/>
  <c r="T69" i="47"/>
  <c r="T68" i="47"/>
  <c r="T67" i="47"/>
  <c r="T66" i="47"/>
  <c r="T65" i="47"/>
  <c r="T64" i="47"/>
  <c r="T63" i="47"/>
  <c r="T62" i="47"/>
  <c r="T61" i="47"/>
  <c r="T60" i="47"/>
  <c r="T59" i="47"/>
  <c r="T58" i="47"/>
  <c r="T57" i="47"/>
  <c r="T56" i="47"/>
  <c r="T55" i="47"/>
  <c r="T54" i="47"/>
  <c r="T53" i="47"/>
  <c r="T52" i="47"/>
  <c r="T51" i="47"/>
  <c r="T50" i="47"/>
  <c r="T49" i="47"/>
  <c r="T48" i="47"/>
  <c r="T47" i="47"/>
  <c r="T46" i="47"/>
  <c r="T45" i="47"/>
  <c r="T44" i="47"/>
  <c r="T43" i="47"/>
  <c r="T42" i="47"/>
  <c r="T41" i="47"/>
  <c r="T40" i="47"/>
  <c r="T39" i="47"/>
  <c r="T38" i="47"/>
  <c r="T37" i="47"/>
  <c r="T36" i="47"/>
  <c r="T35" i="47"/>
  <c r="T34" i="47"/>
  <c r="T33" i="47"/>
  <c r="T32" i="47"/>
  <c r="T31" i="47"/>
  <c r="T30" i="47"/>
  <c r="T29" i="47"/>
  <c r="T28" i="47"/>
  <c r="T27" i="47"/>
  <c r="T26" i="47"/>
  <c r="R26" i="47"/>
  <c r="T25" i="47"/>
  <c r="R25" i="47"/>
  <c r="T24" i="47"/>
  <c r="R24" i="47"/>
  <c r="T23" i="47"/>
  <c r="R23" i="47"/>
  <c r="T22" i="47"/>
  <c r="R22" i="47"/>
  <c r="T21" i="47"/>
  <c r="R21" i="47"/>
  <c r="T20" i="47"/>
  <c r="R20" i="47"/>
  <c r="T19" i="47"/>
  <c r="R19" i="47"/>
  <c r="T18" i="47"/>
  <c r="R18" i="47"/>
  <c r="T17" i="47"/>
  <c r="R17" i="47"/>
  <c r="T16" i="47"/>
  <c r="R16" i="47"/>
  <c r="T15" i="47"/>
  <c r="R15" i="47"/>
  <c r="P15" i="47"/>
  <c r="P16" i="47" s="1"/>
  <c r="P17" i="47" s="1"/>
  <c r="P18" i="47" s="1"/>
  <c r="P19" i="47" s="1"/>
  <c r="P20" i="47" s="1"/>
  <c r="P21" i="47" s="1"/>
  <c r="T14" i="47"/>
  <c r="R14" i="47"/>
  <c r="T13" i="47"/>
  <c r="R13" i="47"/>
  <c r="I15" i="4"/>
  <c r="I17" i="4"/>
  <c r="I16" i="4"/>
  <c r="H16" i="4"/>
  <c r="H15" i="4"/>
  <c r="H17" i="4"/>
  <c r="I41" i="4"/>
  <c r="H45" i="4"/>
  <c r="H18" i="4"/>
  <c r="H32" i="4"/>
  <c r="H13" i="4"/>
  <c r="I10" i="4"/>
  <c r="I14" i="4"/>
  <c r="H27" i="4"/>
  <c r="H37" i="4"/>
  <c r="I43" i="4"/>
  <c r="H36" i="4"/>
  <c r="H20" i="4"/>
  <c r="H10" i="4"/>
  <c r="H21" i="4"/>
  <c r="I44" i="4"/>
  <c r="I31" i="4"/>
  <c r="H44" i="4"/>
  <c r="I18" i="4"/>
  <c r="I23" i="4"/>
  <c r="H43" i="4"/>
  <c r="I35" i="4"/>
  <c r="H30" i="4"/>
  <c r="I45" i="4"/>
  <c r="H22" i="4"/>
  <c r="I29" i="4"/>
  <c r="I36" i="4"/>
  <c r="I33" i="4"/>
  <c r="H35" i="4"/>
  <c r="I13" i="4"/>
  <c r="H9" i="4"/>
  <c r="I20" i="4"/>
  <c r="H11" i="4"/>
  <c r="I42" i="4"/>
  <c r="I30" i="4"/>
  <c r="I11" i="4"/>
  <c r="I37" i="4"/>
  <c r="I27" i="4"/>
  <c r="H42" i="4"/>
  <c r="H23" i="4"/>
  <c r="I34" i="4"/>
  <c r="I19" i="4"/>
  <c r="H28" i="4"/>
  <c r="H12" i="4"/>
  <c r="I32" i="4"/>
  <c r="H41" i="4"/>
  <c r="H33" i="4"/>
  <c r="H29" i="4"/>
  <c r="I9" i="4"/>
  <c r="I28" i="4"/>
  <c r="I21" i="4"/>
  <c r="I12" i="4"/>
  <c r="H31" i="4"/>
  <c r="H19" i="4"/>
  <c r="H34" i="4"/>
  <c r="H14" i="4"/>
  <c r="I22" i="4"/>
  <c r="L36" i="4" l="1"/>
  <c r="L35" i="4"/>
  <c r="L34" i="4"/>
  <c r="L42" i="4"/>
  <c r="L44" i="4"/>
  <c r="L43" i="4"/>
  <c r="L45" i="4"/>
  <c r="L41" i="4"/>
  <c r="L37" i="4"/>
  <c r="L33" i="4"/>
  <c r="L32" i="4"/>
  <c r="L31" i="4"/>
  <c r="L30" i="4"/>
  <c r="L29" i="4"/>
  <c r="L28" i="4"/>
  <c r="L27" i="4"/>
  <c r="L15" i="4"/>
  <c r="L17" i="4"/>
  <c r="L16" i="4"/>
  <c r="L9" i="4"/>
  <c r="L10" i="4"/>
  <c r="L14" i="4"/>
  <c r="L11" i="4"/>
  <c r="L13" i="4"/>
  <c r="L12" i="4"/>
  <c r="L18" i="4"/>
  <c r="L23" i="4"/>
  <c r="L22" i="4"/>
  <c r="L21" i="4"/>
  <c r="L19" i="4"/>
  <c r="L20" i="4"/>
  <c r="U39" i="5"/>
  <c r="K39" i="5"/>
  <c r="U38" i="5"/>
  <c r="K38" i="5"/>
  <c r="N38" i="5" s="1"/>
  <c r="V38" i="5" s="1"/>
  <c r="U37" i="5"/>
  <c r="K37" i="5"/>
  <c r="N37" i="5" s="1"/>
  <c r="V37" i="5" s="1"/>
  <c r="U36" i="5"/>
  <c r="N36" i="5"/>
  <c r="K36" i="5"/>
  <c r="J107" i="3"/>
  <c r="J109" i="3"/>
  <c r="J110" i="3"/>
  <c r="J108" i="3"/>
  <c r="E25" i="5"/>
  <c r="T18" i="5"/>
  <c r="O31" i="5"/>
  <c r="M23" i="5"/>
  <c r="T31" i="5"/>
  <c r="I15" i="5"/>
  <c r="J25" i="5"/>
  <c r="T30" i="5"/>
  <c r="F18" i="5"/>
  <c r="P18" i="5"/>
  <c r="M20" i="5"/>
  <c r="J21" i="5"/>
  <c r="Q21" i="5"/>
  <c r="P26" i="5"/>
  <c r="I20" i="5"/>
  <c r="F28" i="5"/>
  <c r="F20" i="5"/>
  <c r="S26" i="5"/>
  <c r="T20" i="5"/>
  <c r="H15" i="5"/>
  <c r="J23" i="5"/>
  <c r="E15" i="5"/>
  <c r="R20" i="5"/>
  <c r="I23" i="5"/>
  <c r="S20" i="5"/>
  <c r="S33" i="5"/>
  <c r="L30" i="5"/>
  <c r="S16" i="5"/>
  <c r="I21" i="5"/>
  <c r="I25" i="5"/>
  <c r="R25" i="5"/>
  <c r="S23" i="5"/>
  <c r="M31" i="5"/>
  <c r="R15" i="5"/>
  <c r="T23" i="5"/>
  <c r="F15" i="5"/>
  <c r="L16" i="5"/>
  <c r="P23" i="5"/>
  <c r="Q18" i="5"/>
  <c r="H23" i="5"/>
  <c r="Q15" i="5"/>
  <c r="I33" i="5"/>
  <c r="T33" i="5"/>
  <c r="G16" i="5"/>
  <c r="L31" i="5"/>
  <c r="R30" i="5"/>
  <c r="R26" i="5"/>
  <c r="J16" i="5"/>
  <c r="R23" i="5"/>
  <c r="M28" i="5"/>
  <c r="F33" i="5"/>
  <c r="P15" i="5"/>
  <c r="J15" i="5"/>
  <c r="L33" i="5"/>
  <c r="J20" i="5"/>
  <c r="R28" i="5"/>
  <c r="P21" i="5"/>
  <c r="E16" i="5"/>
  <c r="O30" i="5"/>
  <c r="H18" i="5"/>
  <c r="M26" i="5"/>
  <c r="O18" i="5"/>
  <c r="Q31" i="5"/>
  <c r="Q16" i="5"/>
  <c r="E26" i="5"/>
  <c r="P16" i="5"/>
  <c r="R31" i="5"/>
  <c r="F16" i="5"/>
  <c r="H16" i="5"/>
  <c r="E33" i="5"/>
  <c r="J33" i="5"/>
  <c r="L18" i="5"/>
  <c r="I31" i="5"/>
  <c r="Q33" i="5"/>
  <c r="E20" i="5"/>
  <c r="I16" i="5"/>
  <c r="E31" i="5"/>
  <c r="G23" i="5"/>
  <c r="L25" i="5"/>
  <c r="I28" i="5"/>
  <c r="I30" i="5"/>
  <c r="F30" i="5"/>
  <c r="S25" i="5"/>
  <c r="O33" i="5"/>
  <c r="O21" i="5"/>
  <c r="J28" i="5"/>
  <c r="J18" i="5"/>
  <c r="H31" i="5"/>
  <c r="F23" i="5"/>
  <c r="L28" i="5"/>
  <c r="L23" i="5"/>
  <c r="F26" i="5"/>
  <c r="P25" i="5"/>
  <c r="O25" i="5"/>
  <c r="P30" i="5"/>
  <c r="J30" i="5"/>
  <c r="H26" i="5"/>
  <c r="S15" i="5"/>
  <c r="R16" i="5"/>
  <c r="L20" i="5"/>
  <c r="F21" i="5"/>
  <c r="Q23" i="5"/>
  <c r="T21" i="5"/>
  <c r="G25" i="5"/>
  <c r="O20" i="5"/>
  <c r="I18" i="5"/>
  <c r="E30" i="5"/>
  <c r="S31" i="5"/>
  <c r="L15" i="5"/>
  <c r="R18" i="5"/>
  <c r="Q30" i="5"/>
  <c r="G15" i="5"/>
  <c r="G26" i="5"/>
  <c r="R21" i="5"/>
  <c r="J31" i="5"/>
  <c r="L26" i="5"/>
  <c r="R33" i="5"/>
  <c r="H20" i="5"/>
  <c r="H30" i="5"/>
  <c r="T28" i="5"/>
  <c r="P31" i="5"/>
  <c r="T16" i="5"/>
  <c r="T26" i="5"/>
  <c r="G18" i="5"/>
  <c r="O16" i="5"/>
  <c r="G20" i="5"/>
  <c r="G28" i="5"/>
  <c r="G30" i="5"/>
  <c r="H33" i="5"/>
  <c r="Q25" i="5"/>
  <c r="P33" i="5"/>
  <c r="L21" i="5"/>
  <c r="O26" i="5"/>
  <c r="M21" i="5"/>
  <c r="M33" i="5"/>
  <c r="E28" i="5"/>
  <c r="O28" i="5"/>
  <c r="S28" i="5"/>
  <c r="O23" i="5"/>
  <c r="T25" i="5"/>
  <c r="E21" i="5"/>
  <c r="S30" i="5"/>
  <c r="H28" i="5"/>
  <c r="T15" i="5"/>
  <c r="Q20" i="5"/>
  <c r="M16" i="5"/>
  <c r="P20" i="5"/>
  <c r="E18" i="5"/>
  <c r="J26" i="5"/>
  <c r="E23" i="5"/>
  <c r="S18" i="5"/>
  <c r="G33" i="5"/>
  <c r="H21" i="5"/>
  <c r="O15" i="5"/>
  <c r="Q26" i="5"/>
  <c r="M18" i="5"/>
  <c r="G21" i="5"/>
  <c r="S21" i="5"/>
  <c r="I26" i="5"/>
  <c r="M30" i="5"/>
  <c r="P28" i="5"/>
  <c r="G31" i="5"/>
  <c r="M15" i="5"/>
  <c r="H25" i="5"/>
  <c r="M25" i="5"/>
  <c r="F31" i="5"/>
  <c r="Q28" i="5"/>
  <c r="F25" i="5"/>
  <c r="J40" i="5" l="1"/>
  <c r="V36" i="5"/>
  <c r="N39" i="5"/>
  <c r="V39" i="5" s="1"/>
  <c r="F40" i="5"/>
  <c r="I22" i="5"/>
  <c r="M27" i="5"/>
  <c r="G17" i="5"/>
  <c r="U16" i="5"/>
  <c r="O17" i="5"/>
  <c r="G40" i="5"/>
  <c r="U18" i="5"/>
  <c r="O40" i="5"/>
  <c r="N20" i="5"/>
  <c r="J22" i="5"/>
  <c r="R22" i="5"/>
  <c r="F27" i="5"/>
  <c r="N30" i="5"/>
  <c r="J32" i="5"/>
  <c r="R32" i="5"/>
  <c r="H22" i="5"/>
  <c r="F17" i="5"/>
  <c r="K28" i="5"/>
  <c r="H17" i="5"/>
  <c r="P17" i="5"/>
  <c r="H40" i="5"/>
  <c r="P40" i="5"/>
  <c r="K20" i="5"/>
  <c r="G49" i="5" s="1"/>
  <c r="S22" i="5"/>
  <c r="G27" i="5"/>
  <c r="U26" i="5"/>
  <c r="O27" i="5"/>
  <c r="U28" i="5"/>
  <c r="K30" i="5"/>
  <c r="S32" i="5"/>
  <c r="U15" i="5"/>
  <c r="Q22" i="5"/>
  <c r="K26" i="5"/>
  <c r="E27" i="5"/>
  <c r="Q32" i="5"/>
  <c r="I17" i="5"/>
  <c r="Q17" i="5"/>
  <c r="I40" i="5"/>
  <c r="Q40" i="5"/>
  <c r="N21" i="5"/>
  <c r="L22" i="5"/>
  <c r="T22" i="5"/>
  <c r="N23" i="5"/>
  <c r="H27" i="5"/>
  <c r="P27" i="5"/>
  <c r="N31" i="5"/>
  <c r="L32" i="5"/>
  <c r="T32" i="5"/>
  <c r="N33" i="5"/>
  <c r="K16" i="5"/>
  <c r="E17" i="5"/>
  <c r="P22" i="5"/>
  <c r="U25" i="5"/>
  <c r="I32" i="5"/>
  <c r="N15" i="5"/>
  <c r="J17" i="5"/>
  <c r="R17" i="5"/>
  <c r="R40" i="5"/>
  <c r="U20" i="5"/>
  <c r="E22" i="5"/>
  <c r="K21" i="5"/>
  <c r="M22" i="5"/>
  <c r="K23" i="5"/>
  <c r="I27" i="5"/>
  <c r="Q27" i="5"/>
  <c r="U30" i="5"/>
  <c r="E32" i="5"/>
  <c r="K31" i="5"/>
  <c r="M32" i="5"/>
  <c r="K33" i="5"/>
  <c r="K15" i="5"/>
  <c r="S17" i="5"/>
  <c r="S40" i="5"/>
  <c r="F22" i="5"/>
  <c r="J27" i="5"/>
  <c r="N25" i="5"/>
  <c r="R27" i="5"/>
  <c r="F32" i="5"/>
  <c r="L17" i="5"/>
  <c r="N16" i="5"/>
  <c r="T17" i="5"/>
  <c r="L40" i="5"/>
  <c r="N18" i="5"/>
  <c r="T40" i="5"/>
  <c r="G22" i="5"/>
  <c r="O22" i="5"/>
  <c r="U21" i="5"/>
  <c r="U23" i="5"/>
  <c r="K25" i="5"/>
  <c r="S27" i="5"/>
  <c r="G32" i="5"/>
  <c r="O32" i="5"/>
  <c r="U31" i="5"/>
  <c r="U33" i="5"/>
  <c r="M17" i="5"/>
  <c r="E40" i="5"/>
  <c r="K18" i="5"/>
  <c r="M40" i="5"/>
  <c r="N26" i="5"/>
  <c r="L27" i="5"/>
  <c r="T27" i="5"/>
  <c r="N28" i="5"/>
  <c r="H32" i="5"/>
  <c r="P32" i="5"/>
  <c r="L65" i="4" l="1"/>
  <c r="E65" i="4"/>
  <c r="V25" i="5"/>
  <c r="V15" i="5"/>
  <c r="G47" i="5"/>
  <c r="V16" i="5"/>
  <c r="V28" i="5"/>
  <c r="V21" i="5"/>
  <c r="V18" i="5"/>
  <c r="V30" i="5"/>
  <c r="K40" i="5"/>
  <c r="V26" i="5"/>
  <c r="V23" i="5"/>
  <c r="U40" i="5"/>
  <c r="V33" i="5"/>
  <c r="V20" i="5"/>
  <c r="V31" i="5"/>
  <c r="N40" i="5"/>
  <c r="V40" i="5" l="1"/>
  <c r="H30" i="3" s="1"/>
  <c r="G83" i="5" l="1"/>
  <c r="G82" i="5" l="1"/>
  <c r="H27" i="3" s="1"/>
  <c r="I27" i="3" s="1"/>
  <c r="K51" i="4"/>
  <c r="K52" i="4"/>
  <c r="K53" i="4"/>
  <c r="K61" i="4"/>
  <c r="L50" i="4"/>
  <c r="K30" i="4"/>
  <c r="G62" i="5" l="1"/>
  <c r="H20" i="3" s="1"/>
  <c r="I20" i="3" s="1"/>
  <c r="G43" i="5"/>
  <c r="G51" i="5" l="1"/>
  <c r="H16" i="3" s="1"/>
  <c r="I16" i="3" s="1"/>
  <c r="G52" i="5"/>
  <c r="G63" i="5"/>
  <c r="H52" i="4"/>
  <c r="L52" i="4" s="1"/>
  <c r="G69" i="5" l="1"/>
  <c r="G70" i="5"/>
  <c r="H60" i="4" s="1"/>
  <c r="G71" i="5"/>
  <c r="H23" i="3" s="1"/>
  <c r="I23" i="3" s="1"/>
  <c r="G72" i="5"/>
  <c r="H61" i="4" s="1"/>
  <c r="L61" i="4" s="1"/>
  <c r="G58" i="5"/>
  <c r="G64" i="5"/>
  <c r="H21" i="3" s="1"/>
  <c r="I21" i="3" s="1"/>
  <c r="G60" i="5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G61" i="5" l="1"/>
  <c r="H51" i="4"/>
  <c r="L51" i="4" s="1"/>
  <c r="H19" i="3"/>
  <c r="I19" i="3" s="1"/>
  <c r="H18" i="3"/>
  <c r="G66" i="5"/>
  <c r="G59" i="5"/>
  <c r="H49" i="4"/>
  <c r="L49" i="4" s="1"/>
  <c r="G65" i="5"/>
  <c r="H53" i="4"/>
  <c r="L53" i="4" s="1"/>
  <c r="H22" i="3"/>
  <c r="I22" i="3" s="1"/>
  <c r="U13" i="6"/>
  <c r="U14" i="6"/>
  <c r="U15" i="6"/>
  <c r="U16" i="6"/>
  <c r="U17" i="6"/>
  <c r="U18" i="6"/>
  <c r="U19" i="6"/>
  <c r="U20" i="6"/>
  <c r="U21" i="6"/>
  <c r="U22" i="6"/>
  <c r="U23" i="6"/>
  <c r="U24" i="6"/>
  <c r="L54" i="4" l="1" a="1"/>
  <c r="L54" i="4" s="1"/>
  <c r="G67" i="5"/>
  <c r="S13" i="6"/>
  <c r="S14" i="6"/>
  <c r="S15" i="6"/>
  <c r="S16" i="6"/>
  <c r="S17" i="6"/>
  <c r="S18" i="6"/>
  <c r="S19" i="6"/>
  <c r="S20" i="6"/>
  <c r="S21" i="6"/>
  <c r="S22" i="6"/>
  <c r="S23" i="6"/>
  <c r="S24" i="6"/>
  <c r="K57" i="4" l="1"/>
  <c r="K27" i="4" l="1"/>
  <c r="K42" i="4"/>
  <c r="K43" i="4"/>
  <c r="K44" i="4"/>
  <c r="K45" i="4"/>
  <c r="K41" i="4"/>
  <c r="K58" i="4"/>
  <c r="K59" i="4"/>
  <c r="K60" i="4"/>
  <c r="L60" i="4" s="1"/>
  <c r="G81" i="5" l="1"/>
  <c r="G80" i="5"/>
  <c r="G74" i="5"/>
  <c r="G73" i="5"/>
  <c r="G79" i="5"/>
  <c r="G78" i="5"/>
  <c r="G84" i="5" l="1"/>
  <c r="H58" i="4"/>
  <c r="L58" i="4" s="1"/>
  <c r="H24" i="3"/>
  <c r="I24" i="3" s="1"/>
  <c r="H25" i="3"/>
  <c r="I25" i="3" s="1"/>
  <c r="H59" i="4"/>
  <c r="L59" i="4" s="1"/>
  <c r="S26" i="6"/>
  <c r="S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25" i="6"/>
  <c r="H57" i="4" l="1"/>
  <c r="L57" i="4" s="1"/>
  <c r="L62" i="4" s="1"/>
  <c r="H26" i="3"/>
  <c r="I26" i="3" s="1"/>
  <c r="D7" i="5" l="1"/>
  <c r="G44" i="5"/>
  <c r="I18" i="3" l="1"/>
  <c r="I33" i="3"/>
  <c r="I30" i="3"/>
  <c r="K29" i="4"/>
  <c r="K31" i="4"/>
  <c r="K32" i="4"/>
  <c r="K33" i="4"/>
  <c r="K34" i="4"/>
  <c r="K35" i="4"/>
  <c r="K36" i="4"/>
  <c r="K37" i="4"/>
  <c r="Q15" i="6" l="1"/>
  <c r="Q16" i="6" s="1"/>
  <c r="Q17" i="6" s="1"/>
  <c r="Q18" i="6" s="1"/>
  <c r="Q19" i="6" s="1"/>
  <c r="Q20" i="6" s="1"/>
  <c r="Q21" i="6" s="1"/>
  <c r="H32" i="3" l="1"/>
  <c r="I32" i="3" s="1"/>
  <c r="I5" i="3"/>
  <c r="G68" i="5" l="1"/>
  <c r="H8" i="3"/>
  <c r="I8" i="3" s="1"/>
  <c r="I31" i="3"/>
  <c r="H35" i="3"/>
  <c r="I35" i="3" s="1"/>
  <c r="H36" i="3"/>
  <c r="I36" i="3" s="1"/>
  <c r="L24" i="4" l="1"/>
  <c r="G54" i="5"/>
  <c r="G50" i="5"/>
  <c r="L38" i="4"/>
  <c r="L46" i="4"/>
  <c r="G48" i="5"/>
  <c r="G53" i="5"/>
  <c r="H15" i="3"/>
  <c r="I15" i="3" s="1"/>
  <c r="H14" i="3"/>
  <c r="L69" i="4"/>
  <c r="G56" i="5" l="1"/>
  <c r="I14" i="3"/>
  <c r="G55" i="5"/>
  <c r="G75" i="5" s="1"/>
  <c r="H73" i="4"/>
  <c r="H72" i="4"/>
  <c r="H74" i="4"/>
  <c r="H78" i="4"/>
  <c r="H17" i="3"/>
  <c r="H28" i="3" s="1"/>
  <c r="I17" i="3" l="1"/>
  <c r="I28" i="3" s="1"/>
  <c r="I34" i="3" s="1"/>
  <c r="D10" i="5"/>
  <c r="J27" i="3" l="1"/>
  <c r="J16" i="3"/>
  <c r="J20" i="3"/>
  <c r="J33" i="3"/>
  <c r="J21" i="3"/>
  <c r="J19" i="3"/>
  <c r="J23" i="3"/>
  <c r="J22" i="3"/>
  <c r="J24" i="3"/>
  <c r="J25" i="3"/>
  <c r="J26" i="3"/>
  <c r="J30" i="3"/>
  <c r="J18" i="3"/>
  <c r="J32" i="3"/>
  <c r="J36" i="3"/>
  <c r="J31" i="3"/>
  <c r="J35" i="3"/>
  <c r="J15" i="3"/>
  <c r="J14" i="3"/>
  <c r="J17" i="3"/>
  <c r="H82" i="3"/>
  <c r="I82" i="3" s="1"/>
  <c r="H66" i="3"/>
  <c r="I66" i="3" s="1"/>
  <c r="I11" i="3"/>
  <c r="J11" i="3" l="1"/>
  <c r="I95" i="3"/>
  <c r="L78" i="4" l="1"/>
  <c r="L79" i="4" s="1"/>
  <c r="L73" i="4"/>
  <c r="L72" i="4"/>
  <c r="L74" i="4"/>
  <c r="L75" i="4" l="1"/>
  <c r="L82" i="4" l="1"/>
  <c r="F91" i="5" s="1"/>
  <c r="I37" i="3"/>
  <c r="J37" i="3" s="1"/>
  <c r="I39" i="3" l="1"/>
  <c r="I40" i="3" l="1"/>
  <c r="I42" i="3" s="1"/>
  <c r="J42" i="3" s="1"/>
  <c r="J39" i="3"/>
  <c r="I43" i="3" l="1"/>
  <c r="I45" i="3" s="1"/>
  <c r="J45" i="3" s="1"/>
  <c r="I46" i="3" l="1"/>
  <c r="I48" i="3" s="1"/>
  <c r="J48" i="3" s="1"/>
  <c r="I49" i="3" l="1"/>
  <c r="I51" i="3" s="1"/>
  <c r="I53" i="3" s="1"/>
  <c r="J53" i="3" s="1"/>
  <c r="E108" i="3" l="1"/>
  <c r="J51" i="3"/>
  <c r="I76" i="3"/>
  <c r="I85" i="3" s="1"/>
  <c r="I89" i="3"/>
  <c r="J89" i="3" s="1"/>
  <c r="I96" i="3"/>
  <c r="J82" i="3"/>
  <c r="J76" i="3" l="1"/>
  <c r="J66" i="3"/>
  <c r="I86" i="3"/>
  <c r="J86" i="3" s="1"/>
  <c r="I98" i="3" l="1"/>
  <c r="I99" i="3" s="1"/>
  <c r="J99" i="3" l="1"/>
  <c r="I102" i="3"/>
  <c r="F92" i="5" s="1"/>
  <c r="E111" i="3" l="1"/>
  <c r="G108" i="3" s="1"/>
  <c r="E107" i="3"/>
  <c r="I105" i="3"/>
  <c r="J105" i="3" s="1"/>
  <c r="F94" i="5"/>
  <c r="E109" i="3" s="1"/>
  <c r="J102" i="3"/>
  <c r="G109" i="3" l="1"/>
  <c r="G107" i="3"/>
  <c r="E110" i="3"/>
  <c r="F109" i="3" s="1"/>
  <c r="F107" i="3" l="1"/>
  <c r="F10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<sst xmlns="http://schemas.openxmlformats.org/spreadsheetml/2006/main" count="653" uniqueCount="271">
  <si>
    <t>Rekenvariabelen</t>
  </si>
  <si>
    <t>Totale stichtingskosten</t>
  </si>
  <si>
    <t>Bouwkosten</t>
  </si>
  <si>
    <t>Bouwplaatskosten</t>
  </si>
  <si>
    <t>x</t>
  </si>
  <si>
    <t>Subtotaal</t>
  </si>
  <si>
    <t>Winst &amp; Risico</t>
  </si>
  <si>
    <t>- Architect</t>
  </si>
  <si>
    <t>- Constructeur</t>
  </si>
  <si>
    <t>TOTAAL ADVISEURS EN COÖRDINATIEKOSTEN</t>
  </si>
  <si>
    <t>Aansluitkosten</t>
  </si>
  <si>
    <t>- Lozingskosten bronbemaling</t>
  </si>
  <si>
    <t>-</t>
  </si>
  <si>
    <t>- Elektra</t>
  </si>
  <si>
    <t>- Gas</t>
  </si>
  <si>
    <t>- Water</t>
  </si>
  <si>
    <t>- CAI</t>
  </si>
  <si>
    <t>- PTT</t>
  </si>
  <si>
    <t>- Riolering</t>
  </si>
  <si>
    <t>TOTAAL AANSLUITKOSTEN</t>
  </si>
  <si>
    <t>Leges</t>
  </si>
  <si>
    <t>- Bouwvergunning</t>
  </si>
  <si>
    <t>- Inrit aanleg en vergunning</t>
  </si>
  <si>
    <t>TOTAAL  LEGES</t>
  </si>
  <si>
    <t>Subtotaal (bouwkosten + adviseurs +aansluitkosten + leges)</t>
  </si>
  <si>
    <t>TOTAAL  ONTWIKKELINGSKOSTEN</t>
  </si>
  <si>
    <t>Onvoorzien</t>
  </si>
  <si>
    <t>Onvoorzien (% bouwkosten)</t>
  </si>
  <si>
    <t>Bouwrente</t>
  </si>
  <si>
    <t>Jaarrente</t>
  </si>
  <si>
    <t>Bouwtijd</t>
  </si>
  <si>
    <t>- Bouwkosten (1/2 bouwtijd)</t>
  </si>
  <si>
    <t>- Adviseurs en coördinatiekosten, aansluitkosten, leges,</t>
  </si>
  <si>
    <t xml:space="preserve">  ontwikkelingskosten en onvoorzien (1/3 bouwtijd)</t>
  </si>
  <si>
    <t>TOTAAL BOUWRENTE</t>
  </si>
  <si>
    <t>Datum / Prijspeil</t>
  </si>
  <si>
    <t>Risicoregeling (prijs-/loonstijgingen) tot einde bouw</t>
  </si>
  <si>
    <t>Per m2 B.V.O</t>
  </si>
  <si>
    <t>Kosten ontwikkelaar (inclusief winst)</t>
  </si>
  <si>
    <t>Totaal</t>
  </si>
  <si>
    <t>TOTAAL</t>
  </si>
  <si>
    <t>Huurappartementen</t>
  </si>
  <si>
    <t>Parkeren</t>
  </si>
  <si>
    <t>Koopappartementen</t>
  </si>
  <si>
    <t xml:space="preserve">Percentage B.V.O / G.B.O </t>
  </si>
  <si>
    <t>Totaal m2 B.V.O. Koopappartementen</t>
  </si>
  <si>
    <t>Totaal m2 B.V.O. Huurappartementen</t>
  </si>
  <si>
    <t>Totaal m2 G.B.O. Huurappartementen</t>
  </si>
  <si>
    <t>Onvoorzien/voorbereiding/advies/toezicht</t>
  </si>
  <si>
    <t>TOTAAL STICHTINGSKOSTEN (exclusief BTW)</t>
  </si>
  <si>
    <t>TOTAAL STICHTINGSKOSTEN (inclusief BTW)</t>
  </si>
  <si>
    <t>P.M.</t>
  </si>
  <si>
    <t>Bouwrijp maken</t>
  </si>
  <si>
    <t>- Bouwrijp maken (1/1 bouwtijd)</t>
  </si>
  <si>
    <t>- Grondkosten</t>
  </si>
  <si>
    <t>Directe kosten verhard buitenterrein / m2</t>
  </si>
  <si>
    <t>Directe kosten groenvoorziening / m2</t>
  </si>
  <si>
    <t>Totaal m2 B.V.O. Appartementen</t>
  </si>
  <si>
    <t>Totaal m2 G.B.O. Appartementen</t>
  </si>
  <si>
    <t>Totaal m2 G.B.O. Koopappartementen</t>
  </si>
  <si>
    <t>Opbrengsten exclusief BTW</t>
  </si>
  <si>
    <t>Kavelgrootte</t>
  </si>
  <si>
    <t xml:space="preserve">Overdrachtbelasting </t>
  </si>
  <si>
    <t>Totale Opbrengsten</t>
  </si>
  <si>
    <t>Rendement huur % per jaar</t>
  </si>
  <si>
    <t>Verkoopkosten</t>
  </si>
  <si>
    <t>Notariskosten</t>
  </si>
  <si>
    <t>Makelaarskosten</t>
  </si>
  <si>
    <t>Marketing / Promotie</t>
  </si>
  <si>
    <t>TOTAAL BOUWKOSTEN</t>
  </si>
  <si>
    <t>TOTAAL BOUWRIJP MAKEN</t>
  </si>
  <si>
    <t>Belastingen</t>
  </si>
  <si>
    <t>Verschuldigde btw</t>
  </si>
  <si>
    <t>Stichtingskosten exclusief BTW</t>
  </si>
  <si>
    <t>Residuele grondwaarde excl. Btw</t>
  </si>
  <si>
    <t>CAR Verzekering</t>
  </si>
  <si>
    <t>Sociaal Appartement</t>
  </si>
  <si>
    <t>Totaal m2 B.V.O. Huurappartementen (Sociaal)</t>
  </si>
  <si>
    <t>Totaal m2 G.B.O. Huurappartementen (Sociaal)</t>
  </si>
  <si>
    <t>Planschade</t>
  </si>
  <si>
    <t>- Coördinatiekosten</t>
  </si>
  <si>
    <t>- Installatie adviseur</t>
  </si>
  <si>
    <t>- Toezicht/ Directievoering</t>
  </si>
  <si>
    <t>Saneringskosten</t>
  </si>
  <si>
    <t>- Grondonderzoek</t>
  </si>
  <si>
    <t>- Overige adviseurs</t>
  </si>
  <si>
    <t>- Gemeentelijke plankosten</t>
  </si>
  <si>
    <t>Adviseurs, Coördinatiekosten en Verkoopkosten</t>
  </si>
  <si>
    <t>Notariskosten * (tabblad opbrengsten)</t>
  </si>
  <si>
    <t>Makelaarskosten * (tabblad opbrengsten)</t>
  </si>
  <si>
    <t>Marketing / Promotie * (tabblad opbrengsten)</t>
  </si>
  <si>
    <t>maanden</t>
  </si>
  <si>
    <t>bouwtijd</t>
  </si>
  <si>
    <t>%</t>
  </si>
  <si>
    <t>Huur per m2</t>
  </si>
  <si>
    <t>grondgebonden</t>
  </si>
  <si>
    <t>corridor</t>
  </si>
  <si>
    <t>Sloopkosten</t>
  </si>
  <si>
    <t>Sloop m2 B.V.O.</t>
  </si>
  <si>
    <t>huur</t>
  </si>
  <si>
    <t>koop</t>
  </si>
  <si>
    <t>terrein</t>
  </si>
  <si>
    <t>Oppervlakte terrein groenvoorziening  m²</t>
  </si>
  <si>
    <t>gallerij</t>
  </si>
  <si>
    <t>B.V.O</t>
  </si>
  <si>
    <t>G.B.O</t>
  </si>
  <si>
    <t>Parkeerplaatsen ondergronds</t>
  </si>
  <si>
    <t>Parkeerplaatsen half verdiept</t>
  </si>
  <si>
    <t>Parkeerplaatsen maaiveld</t>
  </si>
  <si>
    <t>Parkeerplaatsen maaiveld overdekt</t>
  </si>
  <si>
    <t>Totaal aantal appartementen</t>
  </si>
  <si>
    <t>sociaal</t>
  </si>
  <si>
    <t>Sociaalappartement</t>
  </si>
  <si>
    <t>Verhuur opbrengst</t>
  </si>
  <si>
    <t>portiek</t>
  </si>
  <si>
    <t>Algemene bedrijfs kosten</t>
  </si>
  <si>
    <t>Totaal aantal Woningen</t>
  </si>
  <si>
    <t>grondslag</t>
  </si>
  <si>
    <t>pm</t>
  </si>
  <si>
    <t>Parkeerplaatsen benodigd / aanwezig</t>
  </si>
  <si>
    <t xml:space="preserve"> verdeling klasse %</t>
  </si>
  <si>
    <t>Oppervlakte verhard terrein m²</t>
  </si>
  <si>
    <t>uitgeefbaar</t>
  </si>
  <si>
    <t>Exploitatiebijdrage gemeente / bovenwijkse voorzieningen</t>
  </si>
  <si>
    <t>project</t>
  </si>
  <si>
    <t>adres</t>
  </si>
  <si>
    <t>toren_laag</t>
  </si>
  <si>
    <t>toren_hoog</t>
  </si>
  <si>
    <t>totaal bouwkosten</t>
  </si>
  <si>
    <t>totaal stichtingskosten + grond</t>
  </si>
  <si>
    <t>totaal bouwgrond</t>
  </si>
  <si>
    <t>totaal stichtingskosten - bouwkosten</t>
  </si>
  <si>
    <t>totaal stichtingskosten</t>
  </si>
  <si>
    <t>retail</t>
  </si>
  <si>
    <t>office</t>
  </si>
  <si>
    <t>RGB</t>
  </si>
  <si>
    <t>galerij</t>
  </si>
  <si>
    <t>overig</t>
  </si>
  <si>
    <t>Overig</t>
  </si>
  <si>
    <t>Rijlabels</t>
  </si>
  <si>
    <t>Eindtotaal</t>
  </si>
  <si>
    <t>typologie</t>
  </si>
  <si>
    <t>typologie_type</t>
  </si>
  <si>
    <t>efficientie</t>
  </si>
  <si>
    <t>Som van unit aantal</t>
  </si>
  <si>
    <t>Som van bvo</t>
  </si>
  <si>
    <t>Gemiddelde van efficientie</t>
  </si>
  <si>
    <t>Directe kosten retail / m2 B.V.O.</t>
  </si>
  <si>
    <t>Directe kosten overig / m2 B.V.O.</t>
  </si>
  <si>
    <t>subtotaal</t>
  </si>
  <si>
    <t>Totaal m2 B.V.O. Retail</t>
  </si>
  <si>
    <t>Totaal m2 B.V.O. Overig</t>
  </si>
  <si>
    <t>Totaal m2 G.B.O. Overig</t>
  </si>
  <si>
    <t>Totaal m2 G.B.O. Retail</t>
  </si>
  <si>
    <t>horeca</t>
  </si>
  <si>
    <t>Totaal m2 B.V.O. Horeca</t>
  </si>
  <si>
    <t>Totaal m2 G.B.O. Horeca</t>
  </si>
  <si>
    <t>Baan, Rotterdam</t>
  </si>
  <si>
    <t>BVO</t>
  </si>
  <si>
    <t>GBO</t>
  </si>
  <si>
    <t>Gevel opp.</t>
  </si>
  <si>
    <t>buitenruimte</t>
  </si>
  <si>
    <t>verkeersruimte</t>
  </si>
  <si>
    <t>vrijstaand</t>
  </si>
  <si>
    <t>gebruiken voor onbekende beukmaat</t>
  </si>
  <si>
    <t>per verdieping</t>
  </si>
  <si>
    <t>aantal lagen / aantal beuken</t>
  </si>
  <si>
    <t>per aantal woningen</t>
  </si>
  <si>
    <t>gelerij_ondiep</t>
  </si>
  <si>
    <t>per aantal units</t>
  </si>
  <si>
    <t>penthouse</t>
  </si>
  <si>
    <t>false</t>
  </si>
  <si>
    <t>true</t>
  </si>
  <si>
    <t>nieuwe parameter</t>
  </si>
  <si>
    <t>toren_hoog_glas</t>
  </si>
  <si>
    <t>incl. ontsluiting</t>
  </si>
  <si>
    <t>fixed efficiency</t>
  </si>
  <si>
    <t>kleur / rekenmethode</t>
  </si>
  <si>
    <t>woningen_aantal</t>
  </si>
  <si>
    <t>Parkeren (parkeernorm invullen)</t>
  </si>
  <si>
    <t>Totaal m2 B.V.O. grondgebonden woningen koop</t>
  </si>
  <si>
    <t>Totaal m2 G.B.O. grondgebonden woningen koop</t>
  </si>
  <si>
    <t>Totaal m2 B.V.O. grondgebonden woningen huur</t>
  </si>
  <si>
    <t>Totaal m2 G.B.O. grondgebonden woningen huur</t>
  </si>
  <si>
    <t>Totaal m2 B.V.O. grondgebonden woningen sociaal</t>
  </si>
  <si>
    <t>Totaal m2 G.B.O. grondgebonden woningen sociaal</t>
  </si>
  <si>
    <t>Totaal grondgebonden</t>
  </si>
  <si>
    <t>Totaal apartementen</t>
  </si>
  <si>
    <t>Totaal overige functies</t>
  </si>
  <si>
    <t>Totaal m2 G.B.O. Verkeersruimte</t>
  </si>
  <si>
    <t>Totaal m2 G.B.O. Buitenruimte</t>
  </si>
  <si>
    <t>Totaal m2 B.V.O. Verkeersruimte</t>
  </si>
  <si>
    <t>Totaal m2 B.V.O. Buitenruimte</t>
  </si>
  <si>
    <t>Totaal m2 G.B.O. Grondgebonden</t>
  </si>
  <si>
    <t>Totaal m2 B.V.O. Grondgebonden</t>
  </si>
  <si>
    <t>Residuele Grondwaarde</t>
  </si>
  <si>
    <t>totaal</t>
  </si>
  <si>
    <t>Directe kosten verkeersruimte / m2 B.V.O.</t>
  </si>
  <si>
    <t>Directe kosten buitenruimte / m2 B.V.O.</t>
  </si>
  <si>
    <t>Totaal BVO Woningen</t>
  </si>
  <si>
    <t>Totaal BVO overige functies</t>
  </si>
  <si>
    <t>Directe kosten horeca / m2 B.V.O.</t>
  </si>
  <si>
    <t>48,121,129</t>
  </si>
  <si>
    <t>0,10,22</t>
  </si>
  <si>
    <t>255,255,255</t>
  </si>
  <si>
    <t>242,105,53</t>
  </si>
  <si>
    <t>142,53,11</t>
  </si>
  <si>
    <t>159,185,59</t>
  </si>
  <si>
    <t>129,41,45</t>
  </si>
  <si>
    <t>140,93,97</t>
  </si>
  <si>
    <t>255,216,63</t>
  </si>
  <si>
    <t>0,56,123</t>
  </si>
  <si>
    <t>88,89,91</t>
  </si>
  <si>
    <t>188,190,192</t>
  </si>
  <si>
    <t>230,231,232</t>
  </si>
  <si>
    <t>parkeren</t>
  </si>
  <si>
    <t>still to be linked by Jochem</t>
  </si>
  <si>
    <t>midden huur</t>
  </si>
  <si>
    <t>Totaal m2 B.V.O. Huurappartementen (midden)</t>
  </si>
  <si>
    <t>Totaal m2 G.B.O. Huurappartementen (midden)</t>
  </si>
  <si>
    <t>Totaal m2 B.V.O. grondgebonden woningen huur  (midden)</t>
  </si>
  <si>
    <t>Totaal m2 G.B.O. grondgebonden woningen huur  (midden)</t>
  </si>
  <si>
    <t>huur (midden)</t>
  </si>
  <si>
    <t>Directe kosten appartement / m2 B.V.O</t>
  </si>
  <si>
    <t>Directe kosten grondgebonden / m2 B.V.O.</t>
  </si>
  <si>
    <t>indien overig t.b.v. wonen dan €0</t>
  </si>
  <si>
    <t>geen</t>
  </si>
  <si>
    <t>segment</t>
  </si>
  <si>
    <t>FSI</t>
  </si>
  <si>
    <t>parking</t>
  </si>
  <si>
    <t>Totaal m2 B.V.O. Parking</t>
  </si>
  <si>
    <t>Totaal m2 G.B.O. Parking</t>
  </si>
  <si>
    <t>Directe kosten parking / m2 B.V.O.</t>
  </si>
  <si>
    <t>bij parkeren</t>
  </si>
  <si>
    <t>33,57,81</t>
  </si>
  <si>
    <t>100-140</t>
  </si>
  <si>
    <t>&lt;100</t>
  </si>
  <si>
    <t>&gt;140</t>
  </si>
  <si>
    <r>
      <t>appertement GBO m</t>
    </r>
    <r>
      <rPr>
        <vertAlign val="superscript"/>
        <sz val="8"/>
        <color theme="1"/>
        <rFont val="Arial"/>
        <family val="2"/>
      </rPr>
      <t>2</t>
    </r>
  </si>
  <si>
    <t>GBO (som)</t>
  </si>
  <si>
    <t>Totaal GBO (som)</t>
  </si>
  <si>
    <t>won. (som)</t>
  </si>
  <si>
    <t>Totaal won. (som)</t>
  </si>
  <si>
    <t>eff. (gem)</t>
  </si>
  <si>
    <t>Totaal eff. (gem)</t>
  </si>
  <si>
    <t>alles</t>
  </si>
  <si>
    <t>labels</t>
  </si>
  <si>
    <t>BVO (som)</t>
  </si>
  <si>
    <t>Totaal BVO (som)</t>
  </si>
  <si>
    <t>uit Revit</t>
  </si>
  <si>
    <t>leeg</t>
  </si>
  <si>
    <t>GBO_fictief</t>
  </si>
  <si>
    <t>Totaal Som van GBO_fictief</t>
  </si>
  <si>
    <t>Som van GBO_fictief</t>
  </si>
  <si>
    <t>GBO_fictief (som)</t>
  </si>
  <si>
    <t>TOTAAL OPBRENGSTEN (ex. BTW)</t>
  </si>
  <si>
    <t>Totaal GBO_fictief (som)</t>
  </si>
  <si>
    <t xml:space="preserve">huur </t>
  </si>
  <si>
    <t>fictief</t>
  </si>
  <si>
    <t>midden koop</t>
  </si>
  <si>
    <t>opbrengst per m2 G.B.O</t>
  </si>
  <si>
    <t>opbrengst</t>
  </si>
  <si>
    <r>
      <t>appertement GBO m</t>
    </r>
    <r>
      <rPr>
        <vertAlign val="superscript"/>
        <sz val="8"/>
        <color theme="1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</si>
  <si>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t>appartementen</t>
  </si>
  <si>
    <t>r</t>
  </si>
  <si>
    <t>g</t>
  </si>
  <si>
    <t>b</t>
  </si>
  <si>
    <t>color patch macro</t>
  </si>
  <si>
    <t>zoekwaarde</t>
  </si>
  <si>
    <t>factor</t>
  </si>
  <si>
    <t>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</si>
</sst>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&quot;€&quot;* #,##0.00_);_(&quot;€&quot;* \(#,##0.00\);_(&quot;€&quot;* &quot;-&quot;??_);_(@_)"/>
    <numFmt numFmtId="165" formatCode="_-* #,##0.00_-;_-* #,##0.00\-;_-* &quot;-&quot;??_-;_-@_-"/>
    <numFmt numFmtId="166" formatCode="_-&quot;fl&quot;\ * #,##0.00_-;_-&quot;fl&quot;\ * #,##0.00\-;_-&quot;fl&quot;\ * &quot;-&quot;??_-;_-@_-"/>
    <numFmt numFmtId="167" formatCode="_-[$€-2]\ * #,##0_-;_-[$€-2]\ * #,##0\-;_-[$€-2]\ * &quot;-&quot;_-;_-@_-"/>
    <numFmt numFmtId="168" formatCode="0.0%"/>
    <numFmt numFmtId="169" formatCode="_-[$€-2]\ * #,##0_-;_-[$€-2]\ * #,##0\-;_-[$€-2]\ * &quot;-&quot;??_-;_-@_-"/>
    <numFmt numFmtId="170" formatCode="[$€-2]\ #,##0_-"/>
    <numFmt numFmtId="171" formatCode="_-* #,##0_-;_-* #,##0\-;_-* &quot;-&quot;??_-;_-@_-"/>
    <numFmt numFmtId="172" formatCode="_ &quot;€&quot;\ * #,##0_ ;_ &quot;€&quot;\ * \-#,##0_ ;_ &quot;€&quot;\ * &quot;-&quot;??_ ;_ @_ "/>
    <numFmt numFmtId="173" formatCode="_ [$€-2]\ * #,##0.0_ ;_ [$€-2]\ * \-#,##0.0_ ;_ [$€-2]\ * &quot;-&quot;?_ ;_ @_ "/>
    <numFmt numFmtId="174" formatCode="#,##0.0"/>
    <numFmt numFmtId="175" formatCode="#,###&quot;m2&quot;"/>
    <numFmt numFmtId="176" formatCode="0.0"/>
    <numFmt numFmtId="177" formatCode="0.0%;0.0%;_-* &quot;-&quot;??_-"/>
    <numFmt numFmtId="178" formatCode="#&quot;m2&quot;"/>
    <numFmt numFmtId="179" formatCode="#&quot;m2&quot;;#&quot;m2&quot;;_-* &quot;-&quot;??_-;_-@_-"/>
  </numFmts>
  <fonts count="50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23"/>
      <name val="Arial"/>
      <family val="2"/>
    </font>
    <font>
      <sz val="8"/>
      <color indexed="63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8"/>
      <color indexed="63"/>
      <name val="Arial"/>
      <family val="2"/>
    </font>
    <font>
      <sz val="8"/>
      <color rgb="FF0070C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7"/>
      <name val="Arial"/>
      <family val="2"/>
    </font>
    <font>
      <b/>
      <sz val="9"/>
      <color theme="0"/>
      <name val="Arial"/>
      <family val="2"/>
    </font>
    <font>
      <sz val="12"/>
      <name val="Helv"/>
    </font>
    <font>
      <sz val="8"/>
      <name val="Helv"/>
    </font>
    <font>
      <b/>
      <sz val="11"/>
      <color indexed="9"/>
      <name val="Arial"/>
      <family val="2"/>
    </font>
    <font>
      <sz val="11"/>
      <color indexed="9"/>
      <name val="Arial"/>
      <family val="2"/>
    </font>
    <font>
      <b/>
      <sz val="14"/>
      <color indexed="9"/>
      <name val="Arial"/>
      <family val="2"/>
    </font>
    <font>
      <b/>
      <sz val="10"/>
      <color indexed="9"/>
      <name val="Arial"/>
      <family val="2"/>
    </font>
    <font>
      <sz val="8"/>
      <color theme="0"/>
      <name val="Arial"/>
      <family val="2"/>
    </font>
    <font>
      <sz val="8"/>
      <color theme="0" tint="-0.34998626667073579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0"/>
      <color indexed="63"/>
      <name val="Arial"/>
      <family val="2"/>
    </font>
    <font>
      <b/>
      <sz val="12"/>
      <color indexed="9"/>
      <name val="Arial"/>
      <family val="2"/>
    </font>
    <font>
      <sz val="8"/>
      <color theme="0" tint="-0.14999847407452621"/>
      <name val="Arial"/>
      <family val="2"/>
    </font>
    <font>
      <b/>
      <sz val="12"/>
      <color theme="4" tint="0.39997558519241921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4.9989318521683403E-2"/>
      <name val="Arial"/>
      <family val="2"/>
    </font>
    <font>
      <sz val="8"/>
      <color theme="0" tint="-4.9989318521683403E-2"/>
      <name val="Arial"/>
      <family val="2"/>
    </font>
    <font>
      <vertAlign val="superscript"/>
      <sz val="8"/>
      <color theme="1"/>
      <name val="Arial"/>
      <family val="2"/>
    </font>
    <font>
      <b/>
      <sz val="12"/>
      <color indexed="63"/>
      <name val="Arial"/>
      <family val="2"/>
    </font>
    <font>
      <sz val="9"/>
      <color indexed="63"/>
      <name val="Arial"/>
      <family val="2"/>
    </font>
    <font>
      <b/>
      <sz val="9"/>
      <color indexed="63"/>
      <name val="Arial"/>
      <family val="2"/>
    </font>
    <font>
      <sz val="8"/>
      <color rgb="FFFF0000"/>
      <name val="Arial"/>
      <family val="2"/>
    </font>
    <font>
      <i/>
      <sz val="10"/>
      <name val="Arial"/>
      <family val="2"/>
    </font>
    <font>
      <sz val="8"/>
      <name val="Arial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31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E1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307981"/>
        <bgColor indexed="64"/>
      </patternFill>
    </fill>
    <fill>
      <patternFill patternType="solid">
        <fgColor rgb="FF000A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6935"/>
        <bgColor indexed="64"/>
      </patternFill>
    </fill>
    <fill>
      <patternFill patternType="solid">
        <fgColor rgb="FF8E350B"/>
        <bgColor indexed="64"/>
      </patternFill>
    </fill>
    <fill>
      <patternFill patternType="solid">
        <fgColor rgb="FF9FB93B"/>
        <bgColor indexed="64"/>
      </patternFill>
    </fill>
    <fill>
      <patternFill patternType="solid">
        <fgColor rgb="FF81292D"/>
        <bgColor indexed="64"/>
      </patternFill>
    </fill>
    <fill>
      <patternFill patternType="solid">
        <fgColor rgb="FF8C5D61"/>
        <bgColor indexed="64"/>
      </patternFill>
    </fill>
    <fill>
      <patternFill patternType="solid">
        <fgColor rgb="FFE1D83F"/>
        <bgColor indexed="64"/>
      </patternFill>
    </fill>
    <fill>
      <patternFill patternType="solid">
        <fgColor rgb="FF00387B"/>
        <bgColor indexed="64"/>
      </patternFill>
    </fill>
    <fill>
      <patternFill patternType="solid">
        <fgColor rgb="FF58595B"/>
        <bgColor indexed="64"/>
      </patternFill>
    </fill>
    <fill>
      <patternFill patternType="solid">
        <fgColor rgb="FFBCBEC0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rgb="FF21395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C7FC1"/>
        <bgColor indexed="64"/>
      </patternFill>
    </fill>
    <fill>
      <patternFill patternType="solid">
        <fgColor rgb="FF238443"/>
        <bgColor indexed="64"/>
      </patternFill>
    </fill>
    <fill>
      <patternFill patternType="solid">
        <fgColor rgb="FFC2E6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78C679"/>
        <bgColor indexed="64"/>
      </patternFill>
    </fill>
    <fill>
      <patternFill patternType="solid">
        <fgColor rgb="FFA1DAB4"/>
        <bgColor indexed="64"/>
      </patternFill>
    </fill>
    <fill>
      <patternFill patternType="solid">
        <fgColor rgb="FF41B6C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D83F"/>
        <bgColor indexed="64"/>
      </patternFill>
    </fill>
  </fills>
  <borders count="66">
    <border>
      <left/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23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1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12" fillId="0" borderId="0" applyFont="0" applyFill="0" applyBorder="0" applyAlignment="0" applyProtection="0"/>
    <xf numFmtId="37" fontId="25" fillId="0" borderId="0"/>
    <xf numFmtId="39" fontId="26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587">
    <xf numFmtId="0" fontId="0" fillId="0" borderId="0" xfId="0"/>
    <xf numFmtId="0" fontId="0" fillId="2" borderId="0" xfId="0" applyFill="1"/>
    <xf numFmtId="0" fontId="5" fillId="2" borderId="0" xfId="0" applyFont="1" applyFill="1"/>
    <xf numFmtId="0" fontId="4" fillId="2" borderId="0" xfId="0" applyFont="1" applyFill="1"/>
    <xf numFmtId="0" fontId="3" fillId="2" borderId="0" xfId="0" applyFont="1" applyFill="1"/>
    <xf numFmtId="0" fontId="5" fillId="2" borderId="0" xfId="0" applyFont="1" applyFill="1" applyAlignment="1">
      <alignment vertical="center"/>
    </xf>
    <xf numFmtId="0" fontId="5" fillId="2" borderId="5" xfId="0" applyFont="1" applyFill="1" applyBorder="1"/>
    <xf numFmtId="168" fontId="5" fillId="2" borderId="0" xfId="0" applyNumberFormat="1" applyFont="1" applyFill="1"/>
    <xf numFmtId="0" fontId="2" fillId="2" borderId="0" xfId="0" applyFont="1" applyFill="1"/>
    <xf numFmtId="0" fontId="10" fillId="2" borderId="0" xfId="0" applyFont="1" applyFill="1"/>
    <xf numFmtId="167" fontId="5" fillId="2" borderId="0" xfId="0" applyNumberFormat="1" applyFont="1" applyFill="1"/>
    <xf numFmtId="0" fontId="11" fillId="2" borderId="13" xfId="0" applyFont="1" applyFill="1" applyBorder="1"/>
    <xf numFmtId="3" fontId="5" fillId="2" borderId="0" xfId="2" applyNumberFormat="1" applyFont="1" applyFill="1" applyBorder="1"/>
    <xf numFmtId="0" fontId="5" fillId="2" borderId="0" xfId="0" applyFont="1" applyFill="1" applyAlignment="1">
      <alignment horizontal="center"/>
    </xf>
    <xf numFmtId="0" fontId="5" fillId="2" borderId="0" xfId="0" quotePrefix="1" applyFont="1" applyFill="1"/>
    <xf numFmtId="169" fontId="5" fillId="2" borderId="0" xfId="0" applyNumberFormat="1" applyFont="1" applyFill="1"/>
    <xf numFmtId="9" fontId="5" fillId="2" borderId="0" xfId="2" applyFont="1" applyFill="1" applyBorder="1"/>
    <xf numFmtId="0" fontId="9" fillId="2" borderId="6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10" fillId="2" borderId="7" xfId="0" applyFont="1" applyFill="1" applyBorder="1"/>
    <xf numFmtId="0" fontId="10" fillId="2" borderId="8" xfId="0" applyFont="1" applyFill="1" applyBorder="1"/>
    <xf numFmtId="0" fontId="11" fillId="2" borderId="0" xfId="0" applyFont="1" applyFill="1"/>
    <xf numFmtId="167" fontId="5" fillId="2" borderId="2" xfId="2" applyNumberFormat="1" applyFont="1" applyFill="1" applyBorder="1"/>
    <xf numFmtId="167" fontId="5" fillId="2" borderId="2" xfId="2" applyNumberFormat="1" applyFont="1" applyFill="1" applyBorder="1" applyAlignment="1">
      <alignment horizontal="center"/>
    </xf>
    <xf numFmtId="167" fontId="5" fillId="2" borderId="2" xfId="1" applyNumberFormat="1" applyFont="1" applyFill="1" applyBorder="1"/>
    <xf numFmtId="168" fontId="5" fillId="2" borderId="2" xfId="2" applyNumberFormat="1" applyFont="1" applyFill="1" applyBorder="1"/>
    <xf numFmtId="168" fontId="5" fillId="2" borderId="2" xfId="2" quotePrefix="1" applyNumberFormat="1" applyFont="1" applyFill="1" applyBorder="1" applyAlignment="1">
      <alignment horizontal="center"/>
    </xf>
    <xf numFmtId="3" fontId="5" fillId="2" borderId="2" xfId="2" applyNumberFormat="1" applyFont="1" applyFill="1" applyBorder="1" applyAlignment="1">
      <alignment horizontal="center"/>
    </xf>
    <xf numFmtId="0" fontId="11" fillId="2" borderId="12" xfId="0" applyFont="1" applyFill="1" applyBorder="1"/>
    <xf numFmtId="0" fontId="11" fillId="2" borderId="6" xfId="0" applyFont="1" applyFill="1" applyBorder="1" applyAlignment="1">
      <alignment horizontal="left" vertical="center"/>
    </xf>
    <xf numFmtId="0" fontId="11" fillId="2" borderId="7" xfId="0" applyFont="1" applyFill="1" applyBorder="1" applyAlignment="1">
      <alignment horizontal="left" vertical="center"/>
    </xf>
    <xf numFmtId="0" fontId="5" fillId="2" borderId="3" xfId="0" quotePrefix="1" applyFont="1" applyFill="1" applyBorder="1"/>
    <xf numFmtId="0" fontId="5" fillId="2" borderId="4" xfId="0" quotePrefix="1" applyFont="1" applyFill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9" xfId="0" quotePrefix="1" applyFont="1" applyFill="1" applyBorder="1"/>
    <xf numFmtId="0" fontId="5" fillId="2" borderId="10" xfId="0" applyFont="1" applyFill="1" applyBorder="1" applyAlignment="1">
      <alignment horizontal="center"/>
    </xf>
    <xf numFmtId="0" fontId="11" fillId="2" borderId="11" xfId="0" applyFont="1" applyFill="1" applyBorder="1"/>
    <xf numFmtId="0" fontId="5" fillId="2" borderId="13" xfId="0" applyFont="1" applyFill="1" applyBorder="1"/>
    <xf numFmtId="0" fontId="5" fillId="2" borderId="12" xfId="0" applyFont="1" applyFill="1" applyBorder="1"/>
    <xf numFmtId="168" fontId="3" fillId="2" borderId="4" xfId="2" applyNumberFormat="1" applyFont="1" applyFill="1" applyBorder="1"/>
    <xf numFmtId="0" fontId="11" fillId="2" borderId="6" xfId="0" applyFont="1" applyFill="1" applyBorder="1"/>
    <xf numFmtId="0" fontId="11" fillId="2" borderId="7" xfId="0" applyFont="1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0" fontId="11" fillId="2" borderId="8" xfId="0" applyFont="1" applyFill="1" applyBorder="1"/>
    <xf numFmtId="3" fontId="11" fillId="2" borderId="2" xfId="0" applyNumberFormat="1" applyFont="1" applyFill="1" applyBorder="1"/>
    <xf numFmtId="3" fontId="5" fillId="2" borderId="2" xfId="2" applyNumberFormat="1" applyFont="1" applyFill="1" applyBorder="1" applyAlignment="1">
      <alignment horizontal="right"/>
    </xf>
    <xf numFmtId="3" fontId="5" fillId="2" borderId="2" xfId="2" applyNumberFormat="1" applyFont="1" applyFill="1" applyBorder="1"/>
    <xf numFmtId="0" fontId="9" fillId="5" borderId="6" xfId="0" applyFont="1" applyFill="1" applyBorder="1" applyAlignment="1">
      <alignment horizontal="left"/>
    </xf>
    <xf numFmtId="0" fontId="9" fillId="5" borderId="7" xfId="0" applyFont="1" applyFill="1" applyBorder="1" applyAlignment="1">
      <alignment horizontal="left"/>
    </xf>
    <xf numFmtId="0" fontId="10" fillId="5" borderId="7" xfId="0" applyFont="1" applyFill="1" applyBorder="1"/>
    <xf numFmtId="0" fontId="10" fillId="5" borderId="8" xfId="0" applyFont="1" applyFill="1" applyBorder="1"/>
    <xf numFmtId="0" fontId="16" fillId="2" borderId="0" xfId="0" applyFont="1" applyFill="1"/>
    <xf numFmtId="0" fontId="15" fillId="2" borderId="0" xfId="0" applyFont="1" applyFill="1"/>
    <xf numFmtId="0" fontId="18" fillId="2" borderId="5" xfId="0" applyFont="1" applyFill="1" applyBorder="1"/>
    <xf numFmtId="1" fontId="15" fillId="2" borderId="0" xfId="2" applyNumberFormat="1" applyFont="1" applyFill="1" applyBorder="1"/>
    <xf numFmtId="0" fontId="18" fillId="2" borderId="0" xfId="0" applyFont="1" applyFill="1"/>
    <xf numFmtId="168" fontId="18" fillId="2" borderId="0" xfId="0" applyNumberFormat="1" applyFont="1" applyFill="1"/>
    <xf numFmtId="168" fontId="15" fillId="2" borderId="0" xfId="0" applyNumberFormat="1" applyFont="1" applyFill="1"/>
    <xf numFmtId="0" fontId="20" fillId="2" borderId="0" xfId="0" applyFont="1" applyFill="1"/>
    <xf numFmtId="167" fontId="18" fillId="2" borderId="0" xfId="0" applyNumberFormat="1" applyFont="1" applyFill="1"/>
    <xf numFmtId="0" fontId="17" fillId="2" borderId="13" xfId="0" applyFont="1" applyFill="1" applyBorder="1"/>
    <xf numFmtId="167" fontId="15" fillId="2" borderId="0" xfId="0" applyNumberFormat="1" applyFont="1" applyFill="1"/>
    <xf numFmtId="0" fontId="3" fillId="2" borderId="7" xfId="0" applyFont="1" applyFill="1" applyBorder="1"/>
    <xf numFmtId="0" fontId="3" fillId="2" borderId="8" xfId="0" applyFont="1" applyFill="1" applyBorder="1"/>
    <xf numFmtId="0" fontId="2" fillId="2" borderId="11" xfId="0" applyFont="1" applyFill="1" applyBorder="1" applyAlignment="1">
      <alignment horizontal="center" vertical="center"/>
    </xf>
    <xf numFmtId="0" fontId="3" fillId="2" borderId="4" xfId="0" applyFont="1" applyFill="1" applyBorder="1"/>
    <xf numFmtId="0" fontId="3" fillId="2" borderId="14" xfId="0" applyFont="1" applyFill="1" applyBorder="1"/>
    <xf numFmtId="0" fontId="9" fillId="2" borderId="1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23" fillId="2" borderId="7" xfId="0" quotePrefix="1" applyFont="1" applyFill="1" applyBorder="1"/>
    <xf numFmtId="0" fontId="23" fillId="2" borderId="0" xfId="0" quotePrefix="1" applyFont="1" applyFill="1"/>
    <xf numFmtId="164" fontId="23" fillId="2" borderId="0" xfId="4" applyFont="1" applyFill="1" applyBorder="1" applyAlignment="1">
      <alignment horizontal="center"/>
    </xf>
    <xf numFmtId="164" fontId="23" fillId="2" borderId="7" xfId="4" applyFont="1" applyFill="1" applyBorder="1" applyAlignment="1">
      <alignment horizontal="center"/>
    </xf>
    <xf numFmtId="0" fontId="23" fillId="2" borderId="4" xfId="0" quotePrefix="1" applyFont="1" applyFill="1" applyBorder="1"/>
    <xf numFmtId="169" fontId="5" fillId="2" borderId="2" xfId="3" applyNumberFormat="1" applyFont="1" applyFill="1" applyBorder="1"/>
    <xf numFmtId="3" fontId="22" fillId="5" borderId="2" xfId="0" applyNumberFormat="1" applyFont="1" applyFill="1" applyBorder="1"/>
    <xf numFmtId="0" fontId="21" fillId="2" borderId="0" xfId="0" applyFont="1" applyFill="1"/>
    <xf numFmtId="0" fontId="24" fillId="2" borderId="0" xfId="0" applyFont="1" applyFill="1" applyAlignment="1">
      <alignment horizontal="center" vertical="center"/>
    </xf>
    <xf numFmtId="0" fontId="18" fillId="2" borderId="7" xfId="0" applyFont="1" applyFill="1" applyBorder="1"/>
    <xf numFmtId="0" fontId="18" fillId="2" borderId="6" xfId="0" applyFont="1" applyFill="1" applyBorder="1" applyAlignment="1">
      <alignment horizontal="left"/>
    </xf>
    <xf numFmtId="0" fontId="20" fillId="2" borderId="7" xfId="0" applyFont="1" applyFill="1" applyBorder="1"/>
    <xf numFmtId="0" fontId="19" fillId="2" borderId="6" xfId="0" applyFont="1" applyFill="1" applyBorder="1" applyAlignment="1">
      <alignment horizontal="left" vertical="center"/>
    </xf>
    <xf numFmtId="0" fontId="15" fillId="2" borderId="7" xfId="0" quotePrefix="1" applyFont="1" applyFill="1" applyBorder="1" applyAlignment="1">
      <alignment horizontal="right"/>
    </xf>
    <xf numFmtId="0" fontId="15" fillId="2" borderId="7" xfId="0" applyFont="1" applyFill="1" applyBorder="1"/>
    <xf numFmtId="0" fontId="18" fillId="2" borderId="8" xfId="0" applyFont="1" applyFill="1" applyBorder="1" applyAlignment="1">
      <alignment horizontal="right"/>
    </xf>
    <xf numFmtId="0" fontId="18" fillId="2" borderId="3" xfId="0" applyFont="1" applyFill="1" applyBorder="1" applyAlignment="1">
      <alignment vertical="center"/>
    </xf>
    <xf numFmtId="168" fontId="18" fillId="2" borderId="4" xfId="0" applyNumberFormat="1" applyFont="1" applyFill="1" applyBorder="1"/>
    <xf numFmtId="0" fontId="18" fillId="2" borderId="4" xfId="0" applyFont="1" applyFill="1" applyBorder="1"/>
    <xf numFmtId="0" fontId="18" fillId="2" borderId="9" xfId="0" applyFont="1" applyFill="1" applyBorder="1" applyAlignment="1">
      <alignment vertical="center"/>
    </xf>
    <xf numFmtId="0" fontId="17" fillId="2" borderId="11" xfId="0" applyFont="1" applyFill="1" applyBorder="1"/>
    <xf numFmtId="0" fontId="17" fillId="2" borderId="12" xfId="0" applyFont="1" applyFill="1" applyBorder="1"/>
    <xf numFmtId="0" fontId="18" fillId="2" borderId="7" xfId="0" applyFont="1" applyFill="1" applyBorder="1" applyAlignment="1">
      <alignment horizontal="right"/>
    </xf>
    <xf numFmtId="0" fontId="15" fillId="2" borderId="8" xfId="0" applyFont="1" applyFill="1" applyBorder="1"/>
    <xf numFmtId="0" fontId="18" fillId="2" borderId="10" xfId="0" applyFont="1" applyFill="1" applyBorder="1"/>
    <xf numFmtId="169" fontId="16" fillId="2" borderId="0" xfId="3" applyNumberFormat="1" applyFont="1" applyFill="1" applyBorder="1"/>
    <xf numFmtId="0" fontId="18" fillId="2" borderId="3" xfId="0" quotePrefix="1" applyFont="1" applyFill="1" applyBorder="1"/>
    <xf numFmtId="167" fontId="18" fillId="2" borderId="4" xfId="0" applyNumberFormat="1" applyFont="1" applyFill="1" applyBorder="1"/>
    <xf numFmtId="0" fontId="18" fillId="2" borderId="9" xfId="0" quotePrefix="1" applyFont="1" applyFill="1" applyBorder="1"/>
    <xf numFmtId="168" fontId="18" fillId="2" borderId="13" xfId="0" applyNumberFormat="1" applyFont="1" applyFill="1" applyBorder="1"/>
    <xf numFmtId="0" fontId="18" fillId="2" borderId="13" xfId="0" applyFont="1" applyFill="1" applyBorder="1"/>
    <xf numFmtId="0" fontId="20" fillId="2" borderId="7" xfId="0" applyFont="1" applyFill="1" applyBorder="1" applyAlignment="1">
      <alignment horizontal="center"/>
    </xf>
    <xf numFmtId="0" fontId="20" fillId="2" borderId="8" xfId="0" applyFont="1" applyFill="1" applyBorder="1" applyAlignment="1">
      <alignment horizontal="center"/>
    </xf>
    <xf numFmtId="168" fontId="18" fillId="7" borderId="8" xfId="2" applyNumberFormat="1" applyFont="1" applyFill="1" applyBorder="1"/>
    <xf numFmtId="172" fontId="18" fillId="7" borderId="8" xfId="4" applyNumberFormat="1" applyFont="1" applyFill="1" applyBorder="1"/>
    <xf numFmtId="0" fontId="5" fillId="7" borderId="0" xfId="0" applyFont="1" applyFill="1"/>
    <xf numFmtId="0" fontId="15" fillId="2" borderId="13" xfId="0" applyFont="1" applyFill="1" applyBorder="1"/>
    <xf numFmtId="0" fontId="7" fillId="2" borderId="7" xfId="0" applyFont="1" applyFill="1" applyBorder="1"/>
    <xf numFmtId="0" fontId="7" fillId="2" borderId="7" xfId="0" applyFont="1" applyFill="1" applyBorder="1" applyAlignment="1">
      <alignment horizontal="left"/>
    </xf>
    <xf numFmtId="49" fontId="7" fillId="2" borderId="7" xfId="0" applyNumberFormat="1" applyFont="1" applyFill="1" applyBorder="1" applyAlignment="1">
      <alignment horizontal="right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3" fillId="0" borderId="0" xfId="0" applyFont="1"/>
    <xf numFmtId="167" fontId="5" fillId="2" borderId="15" xfId="2" applyNumberFormat="1" applyFont="1" applyFill="1" applyBorder="1"/>
    <xf numFmtId="167" fontId="5" fillId="7" borderId="2" xfId="2" applyNumberFormat="1" applyFont="1" applyFill="1" applyBorder="1"/>
    <xf numFmtId="0" fontId="7" fillId="2" borderId="9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172" fontId="18" fillId="7" borderId="10" xfId="4" applyNumberFormat="1" applyFont="1" applyFill="1" applyBorder="1"/>
    <xf numFmtId="3" fontId="7" fillId="2" borderId="4" xfId="0" applyNumberFormat="1" applyFont="1" applyFill="1" applyBorder="1"/>
    <xf numFmtId="3" fontId="7" fillId="2" borderId="0" xfId="0" applyNumberFormat="1" applyFont="1" applyFill="1"/>
    <xf numFmtId="172" fontId="18" fillId="7" borderId="4" xfId="4" applyNumberFormat="1" applyFont="1" applyFill="1" applyBorder="1"/>
    <xf numFmtId="172" fontId="18" fillId="7" borderId="0" xfId="4" applyNumberFormat="1" applyFont="1" applyFill="1" applyBorder="1"/>
    <xf numFmtId="172" fontId="18" fillId="2" borderId="10" xfId="4" applyNumberFormat="1" applyFont="1" applyFill="1" applyBorder="1"/>
    <xf numFmtId="0" fontId="19" fillId="5" borderId="6" xfId="0" applyFont="1" applyFill="1" applyBorder="1" applyAlignment="1">
      <alignment horizontal="left"/>
    </xf>
    <xf numFmtId="0" fontId="20" fillId="5" borderId="7" xfId="0" applyFont="1" applyFill="1" applyBorder="1"/>
    <xf numFmtId="0" fontId="20" fillId="5" borderId="7" xfId="0" applyFont="1" applyFill="1" applyBorder="1" applyAlignment="1">
      <alignment horizontal="center"/>
    </xf>
    <xf numFmtId="0" fontId="20" fillId="5" borderId="8" xfId="0" applyFont="1" applyFill="1" applyBorder="1" applyAlignment="1">
      <alignment horizontal="center"/>
    </xf>
    <xf numFmtId="168" fontId="18" fillId="7" borderId="0" xfId="0" applyNumberFormat="1" applyFont="1" applyFill="1"/>
    <xf numFmtId="164" fontId="18" fillId="7" borderId="4" xfId="4" applyFont="1" applyFill="1" applyBorder="1"/>
    <xf numFmtId="164" fontId="18" fillId="7" borderId="0" xfId="4" applyFont="1" applyFill="1" applyBorder="1"/>
    <xf numFmtId="49" fontId="6" fillId="2" borderId="0" xfId="0" applyNumberFormat="1" applyFont="1" applyFill="1" applyAlignment="1">
      <alignment horizontal="left" vertical="center" indent="1"/>
    </xf>
    <xf numFmtId="0" fontId="2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0" fillId="2" borderId="4" xfId="0" applyFill="1" applyBorder="1"/>
    <xf numFmtId="164" fontId="0" fillId="2" borderId="0" xfId="4" applyFont="1" applyFill="1" applyBorder="1"/>
    <xf numFmtId="0" fontId="0" fillId="2" borderId="13" xfId="0" applyFill="1" applyBorder="1"/>
    <xf numFmtId="0" fontId="0" fillId="2" borderId="3" xfId="0" applyFill="1" applyBorder="1"/>
    <xf numFmtId="164" fontId="0" fillId="2" borderId="5" xfId="4" applyFont="1" applyFill="1" applyBorder="1"/>
    <xf numFmtId="0" fontId="9" fillId="2" borderId="0" xfId="0" applyFont="1" applyFill="1"/>
    <xf numFmtId="49" fontId="6" fillId="2" borderId="22" xfId="0" applyNumberFormat="1" applyFont="1" applyFill="1" applyBorder="1" applyAlignment="1">
      <alignment horizontal="left" vertical="center" indent="1"/>
    </xf>
    <xf numFmtId="49" fontId="6" fillId="2" borderId="17" xfId="0" applyNumberFormat="1" applyFont="1" applyFill="1" applyBorder="1" applyAlignment="1">
      <alignment horizontal="left" vertical="center" indent="1"/>
    </xf>
    <xf numFmtId="49" fontId="6" fillId="2" borderId="19" xfId="0" applyNumberFormat="1" applyFont="1" applyFill="1" applyBorder="1" applyAlignment="1">
      <alignment horizontal="left" vertical="center" indent="1"/>
    </xf>
    <xf numFmtId="49" fontId="6" fillId="2" borderId="23" xfId="0" applyNumberFormat="1" applyFont="1" applyFill="1" applyBorder="1" applyAlignment="1">
      <alignment horizontal="left" vertical="center" indent="1"/>
    </xf>
    <xf numFmtId="49" fontId="6" fillId="2" borderId="21" xfId="0" applyNumberFormat="1" applyFont="1" applyFill="1" applyBorder="1" applyAlignment="1">
      <alignment horizontal="left" vertical="center" indent="1"/>
    </xf>
    <xf numFmtId="39" fontId="27" fillId="5" borderId="0" xfId="6" applyFont="1" applyFill="1" applyAlignment="1">
      <alignment vertical="center"/>
    </xf>
    <xf numFmtId="39" fontId="28" fillId="5" borderId="0" xfId="6" applyFont="1" applyFill="1" applyAlignment="1">
      <alignment vertical="center"/>
    </xf>
    <xf numFmtId="1" fontId="27" fillId="5" borderId="0" xfId="6" applyNumberFormat="1" applyFont="1" applyFill="1" applyAlignment="1">
      <alignment horizontal="left" vertical="center"/>
    </xf>
    <xf numFmtId="39" fontId="29" fillId="5" borderId="0" xfId="6" applyFont="1" applyFill="1" applyAlignment="1">
      <alignment horizontal="left" vertical="center"/>
    </xf>
    <xf numFmtId="39" fontId="27" fillId="5" borderId="0" xfId="6" applyFont="1" applyFill="1" applyAlignment="1">
      <alignment horizontal="left" vertical="center"/>
    </xf>
    <xf numFmtId="1" fontId="30" fillId="5" borderId="0" xfId="6" applyNumberFormat="1" applyFont="1" applyFill="1" applyAlignment="1">
      <alignment horizontal="left" vertical="center"/>
    </xf>
    <xf numFmtId="0" fontId="8" fillId="2" borderId="24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left" vertical="center" indent="1"/>
    </xf>
    <xf numFmtId="0" fontId="10" fillId="2" borderId="22" xfId="0" applyFont="1" applyFill="1" applyBorder="1"/>
    <xf numFmtId="0" fontId="5" fillId="2" borderId="25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vertical="center"/>
    </xf>
    <xf numFmtId="0" fontId="10" fillId="2" borderId="23" xfId="0" applyFont="1" applyFill="1" applyBorder="1" applyAlignment="1">
      <alignment vertical="center"/>
    </xf>
    <xf numFmtId="0" fontId="5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vertical="center"/>
    </xf>
    <xf numFmtId="0" fontId="10" fillId="2" borderId="30" xfId="0" applyFont="1" applyFill="1" applyBorder="1" applyAlignment="1">
      <alignment vertical="center"/>
    </xf>
    <xf numFmtId="0" fontId="0" fillId="2" borderId="19" xfId="0" applyFill="1" applyBorder="1"/>
    <xf numFmtId="0" fontId="7" fillId="2" borderId="34" xfId="0" applyFont="1" applyFill="1" applyBorder="1" applyAlignment="1">
      <alignment horizontal="left"/>
    </xf>
    <xf numFmtId="3" fontId="13" fillId="2" borderId="39" xfId="0" applyNumberFormat="1" applyFont="1" applyFill="1" applyBorder="1"/>
    <xf numFmtId="0" fontId="0" fillId="2" borderId="23" xfId="0" applyFill="1" applyBorder="1"/>
    <xf numFmtId="0" fontId="15" fillId="2" borderId="16" xfId="0" applyFont="1" applyFill="1" applyBorder="1"/>
    <xf numFmtId="0" fontId="18" fillId="2" borderId="44" xfId="0" applyFont="1" applyFill="1" applyBorder="1" applyAlignment="1">
      <alignment vertical="center"/>
    </xf>
    <xf numFmtId="0" fontId="18" fillId="2" borderId="32" xfId="0" applyFont="1" applyFill="1" applyBorder="1"/>
    <xf numFmtId="0" fontId="18" fillId="2" borderId="45" xfId="0" applyFont="1" applyFill="1" applyBorder="1"/>
    <xf numFmtId="0" fontId="15" fillId="2" borderId="22" xfId="0" applyFont="1" applyFill="1" applyBorder="1"/>
    <xf numFmtId="0" fontId="15" fillId="2" borderId="17" xfId="0" applyFont="1" applyFill="1" applyBorder="1"/>
    <xf numFmtId="0" fontId="15" fillId="2" borderId="18" xfId="0" applyFont="1" applyFill="1" applyBorder="1"/>
    <xf numFmtId="164" fontId="15" fillId="2" borderId="19" xfId="4" applyFont="1" applyFill="1" applyBorder="1"/>
    <xf numFmtId="0" fontId="15" fillId="2" borderId="46" xfId="0" applyFont="1" applyFill="1" applyBorder="1"/>
    <xf numFmtId="0" fontId="15" fillId="2" borderId="38" xfId="0" applyFont="1" applyFill="1" applyBorder="1"/>
    <xf numFmtId="0" fontId="19" fillId="6" borderId="47" xfId="0" applyFont="1" applyFill="1" applyBorder="1" applyAlignment="1">
      <alignment horizontal="center" vertical="center"/>
    </xf>
    <xf numFmtId="0" fontId="20" fillId="2" borderId="39" xfId="0" applyFont="1" applyFill="1" applyBorder="1"/>
    <xf numFmtId="0" fontId="15" fillId="2" borderId="19" xfId="0" applyFont="1" applyFill="1" applyBorder="1"/>
    <xf numFmtId="0" fontId="16" fillId="3" borderId="3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18" xfId="0" applyFont="1" applyFill="1" applyBorder="1" applyAlignment="1">
      <alignment horizontal="center" vertical="center"/>
    </xf>
    <xf numFmtId="0" fontId="15" fillId="2" borderId="46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167" fontId="16" fillId="2" borderId="19" xfId="2" applyNumberFormat="1" applyFont="1" applyFill="1" applyBorder="1"/>
    <xf numFmtId="169" fontId="16" fillId="2" borderId="19" xfId="3" applyNumberFormat="1" applyFont="1" applyFill="1" applyBorder="1"/>
    <xf numFmtId="0" fontId="19" fillId="3" borderId="34" xfId="0" applyFont="1" applyFill="1" applyBorder="1" applyAlignment="1">
      <alignment horizontal="center" vertical="center"/>
    </xf>
    <xf numFmtId="0" fontId="19" fillId="2" borderId="19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46" xfId="0" applyFont="1" applyFill="1" applyBorder="1" applyAlignment="1">
      <alignment horizontal="center"/>
    </xf>
    <xf numFmtId="170" fontId="18" fillId="4" borderId="48" xfId="0" applyNumberFormat="1" applyFont="1" applyFill="1" applyBorder="1" applyAlignment="1">
      <alignment horizontal="right"/>
    </xf>
    <xf numFmtId="0" fontId="19" fillId="5" borderId="47" xfId="0" applyFont="1" applyFill="1" applyBorder="1" applyAlignment="1">
      <alignment horizontal="center" vertical="center"/>
    </xf>
    <xf numFmtId="0" fontId="18" fillId="2" borderId="49" xfId="0" applyFont="1" applyFill="1" applyBorder="1" applyAlignment="1">
      <alignment horizontal="center"/>
    </xf>
    <xf numFmtId="0" fontId="17" fillId="2" borderId="23" xfId="0" applyFont="1" applyFill="1" applyBorder="1"/>
    <xf numFmtId="167" fontId="22" fillId="5" borderId="50" xfId="2" applyNumberFormat="1" applyFont="1" applyFill="1" applyBorder="1"/>
    <xf numFmtId="0" fontId="9" fillId="3" borderId="24" xfId="0" applyFont="1" applyFill="1" applyBorder="1" applyAlignment="1">
      <alignment horizontal="center" vertical="center"/>
    </xf>
    <xf numFmtId="0" fontId="9" fillId="2" borderId="44" xfId="0" applyFont="1" applyFill="1" applyBorder="1" applyAlignment="1">
      <alignment horizontal="left" vertical="center" indent="1"/>
    </xf>
    <xf numFmtId="0" fontId="10" fillId="2" borderId="45" xfId="0" applyFont="1" applyFill="1" applyBorder="1"/>
    <xf numFmtId="0" fontId="10" fillId="2" borderId="33" xfId="0" applyFont="1" applyFill="1" applyBorder="1" applyAlignment="1">
      <alignment horizontal="right"/>
    </xf>
    <xf numFmtId="0" fontId="3" fillId="2" borderId="19" xfId="0" applyFont="1" applyFill="1" applyBorder="1"/>
    <xf numFmtId="0" fontId="2" fillId="3" borderId="47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51" xfId="0" applyFont="1" applyFill="1" applyBorder="1" applyAlignment="1">
      <alignment horizontal="center" vertical="center"/>
    </xf>
    <xf numFmtId="170" fontId="5" fillId="4" borderId="48" xfId="0" applyNumberFormat="1" applyFont="1" applyFill="1" applyBorder="1" applyAlignment="1">
      <alignment horizontal="right"/>
    </xf>
    <xf numFmtId="0" fontId="2" fillId="2" borderId="52" xfId="0" applyFont="1" applyFill="1" applyBorder="1" applyAlignment="1">
      <alignment horizontal="center" vertical="center"/>
    </xf>
    <xf numFmtId="0" fontId="3" fillId="2" borderId="53" xfId="0" applyFont="1" applyFill="1" applyBorder="1" applyAlignment="1">
      <alignment horizontal="center"/>
    </xf>
    <xf numFmtId="167" fontId="11" fillId="2" borderId="48" xfId="2" applyNumberFormat="1" applyFont="1" applyFill="1" applyBorder="1"/>
    <xf numFmtId="0" fontId="3" fillId="2" borderId="18" xfId="0" applyFont="1" applyFill="1" applyBorder="1"/>
    <xf numFmtId="0" fontId="3" fillId="2" borderId="26" xfId="0" applyFont="1" applyFill="1" applyBorder="1"/>
    <xf numFmtId="0" fontId="9" fillId="3" borderId="34" xfId="0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5" fillId="2" borderId="51" xfId="0" applyFont="1" applyFill="1" applyBorder="1" applyAlignment="1">
      <alignment horizontal="center"/>
    </xf>
    <xf numFmtId="0" fontId="5" fillId="2" borderId="52" xfId="0" applyFont="1" applyFill="1" applyBorder="1" applyAlignment="1">
      <alignment horizontal="center"/>
    </xf>
    <xf numFmtId="167" fontId="5" fillId="2" borderId="48" xfId="2" applyNumberFormat="1" applyFont="1" applyFill="1" applyBorder="1"/>
    <xf numFmtId="0" fontId="5" fillId="2" borderId="53" xfId="0" applyFont="1" applyFill="1" applyBorder="1" applyAlignment="1">
      <alignment horizontal="center"/>
    </xf>
    <xf numFmtId="0" fontId="3" fillId="2" borderId="47" xfId="0" applyFont="1" applyFill="1" applyBorder="1"/>
    <xf numFmtId="0" fontId="9" fillId="3" borderId="47" xfId="0" applyFont="1" applyFill="1" applyBorder="1" applyAlignment="1">
      <alignment horizontal="center" vertical="center"/>
    </xf>
    <xf numFmtId="0" fontId="9" fillId="2" borderId="54" xfId="0" applyFont="1" applyFill="1" applyBorder="1" applyAlignment="1">
      <alignment horizontal="center" vertical="center"/>
    </xf>
    <xf numFmtId="168" fontId="5" fillId="2" borderId="48" xfId="2" applyNumberFormat="1" applyFont="1" applyFill="1" applyBorder="1"/>
    <xf numFmtId="0" fontId="3" fillId="2" borderId="25" xfId="0" applyFont="1" applyFill="1" applyBorder="1"/>
    <xf numFmtId="0" fontId="9" fillId="2" borderId="38" xfId="0" applyFont="1" applyFill="1" applyBorder="1" applyAlignment="1">
      <alignment horizontal="center" vertical="center"/>
    </xf>
    <xf numFmtId="168" fontId="5" fillId="2" borderId="48" xfId="2" quotePrefix="1" applyNumberFormat="1" applyFont="1" applyFill="1" applyBorder="1" applyAlignment="1">
      <alignment horizontal="center"/>
    </xf>
    <xf numFmtId="3" fontId="5" fillId="2" borderId="48" xfId="2" applyNumberFormat="1" applyFont="1" applyFill="1" applyBorder="1" applyAlignment="1">
      <alignment horizontal="center"/>
    </xf>
    <xf numFmtId="169" fontId="5" fillId="2" borderId="48" xfId="3" applyNumberFormat="1" applyFont="1" applyFill="1" applyBorder="1"/>
    <xf numFmtId="0" fontId="5" fillId="2" borderId="4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168" fontId="3" fillId="2" borderId="26" xfId="2" applyNumberFormat="1" applyFont="1" applyFill="1" applyBorder="1"/>
    <xf numFmtId="0" fontId="5" fillId="2" borderId="25" xfId="0" applyFont="1" applyFill="1" applyBorder="1" applyAlignment="1">
      <alignment horizontal="center"/>
    </xf>
    <xf numFmtId="0" fontId="5" fillId="2" borderId="18" xfId="0" applyFont="1" applyFill="1" applyBorder="1" applyAlignment="1">
      <alignment horizontal="center"/>
    </xf>
    <xf numFmtId="3" fontId="5" fillId="2" borderId="48" xfId="2" applyNumberFormat="1" applyFont="1" applyFill="1" applyBorder="1"/>
    <xf numFmtId="0" fontId="5" fillId="2" borderId="46" xfId="0" applyFont="1" applyFill="1" applyBorder="1" applyAlignment="1">
      <alignment horizontal="center"/>
    </xf>
    <xf numFmtId="0" fontId="9" fillId="5" borderId="34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11" fillId="2" borderId="55" xfId="0" applyFont="1" applyFill="1" applyBorder="1"/>
    <xf numFmtId="9" fontId="11" fillId="2" borderId="41" xfId="0" applyNumberFormat="1" applyFont="1" applyFill="1" applyBorder="1"/>
    <xf numFmtId="0" fontId="3" fillId="2" borderId="41" xfId="0" applyFont="1" applyFill="1" applyBorder="1"/>
    <xf numFmtId="0" fontId="11" fillId="2" borderId="41" xfId="0" applyFont="1" applyFill="1" applyBorder="1"/>
    <xf numFmtId="0" fontId="11" fillId="2" borderId="56" xfId="0" applyFont="1" applyFill="1" applyBorder="1"/>
    <xf numFmtId="3" fontId="22" fillId="5" borderId="57" xfId="0" applyNumberFormat="1" applyFont="1" applyFill="1" applyBorder="1"/>
    <xf numFmtId="175" fontId="5" fillId="2" borderId="0" xfId="0" applyNumberFormat="1" applyFont="1" applyFill="1"/>
    <xf numFmtId="171" fontId="5" fillId="0" borderId="0" xfId="1" applyNumberFormat="1" applyFont="1" applyFill="1" applyBorder="1"/>
    <xf numFmtId="167" fontId="5" fillId="2" borderId="12" xfId="0" applyNumberFormat="1" applyFont="1" applyFill="1" applyBorder="1"/>
    <xf numFmtId="167" fontId="11" fillId="8" borderId="2" xfId="2" applyNumberFormat="1" applyFont="1" applyFill="1" applyBorder="1"/>
    <xf numFmtId="167" fontId="11" fillId="8" borderId="48" xfId="2" applyNumberFormat="1" applyFont="1" applyFill="1" applyBorder="1"/>
    <xf numFmtId="169" fontId="11" fillId="8" borderId="2" xfId="3" applyNumberFormat="1" applyFont="1" applyFill="1" applyBorder="1"/>
    <xf numFmtId="0" fontId="18" fillId="2" borderId="22" xfId="0" applyFont="1" applyFill="1" applyBorder="1"/>
    <xf numFmtId="168" fontId="18" fillId="2" borderId="0" xfId="2" applyNumberFormat="1" applyFont="1" applyFill="1" applyBorder="1"/>
    <xf numFmtId="172" fontId="18" fillId="2" borderId="0" xfId="4" applyNumberFormat="1" applyFont="1" applyFill="1" applyBorder="1"/>
    <xf numFmtId="172" fontId="18" fillId="2" borderId="4" xfId="4" applyNumberFormat="1" applyFont="1" applyFill="1" applyBorder="1"/>
    <xf numFmtId="0" fontId="18" fillId="2" borderId="7" xfId="0" quotePrefix="1" applyFont="1" applyFill="1" applyBorder="1" applyAlignment="1">
      <alignment horizontal="right"/>
    </xf>
    <xf numFmtId="167" fontId="5" fillId="2" borderId="0" xfId="0" applyNumberFormat="1" applyFont="1" applyFill="1" applyAlignment="1">
      <alignment horizontal="center"/>
    </xf>
    <xf numFmtId="3" fontId="5" fillId="2" borderId="0" xfId="0" applyNumberFormat="1" applyFont="1" applyFill="1"/>
    <xf numFmtId="0" fontId="5" fillId="2" borderId="12" xfId="0" applyFont="1" applyFill="1" applyBorder="1" applyAlignment="1">
      <alignment horizontal="right"/>
    </xf>
    <xf numFmtId="168" fontId="31" fillId="2" borderId="4" xfId="0" applyNumberFormat="1" applyFont="1" applyFill="1" applyBorder="1"/>
    <xf numFmtId="168" fontId="31" fillId="2" borderId="0" xfId="0" applyNumberFormat="1" applyFont="1" applyFill="1"/>
    <xf numFmtId="0" fontId="6" fillId="3" borderId="22" xfId="0" applyFont="1" applyFill="1" applyBorder="1" applyAlignment="1">
      <alignment horizontal="center" vertical="center"/>
    </xf>
    <xf numFmtId="0" fontId="0" fillId="3" borderId="0" xfId="0" applyFill="1"/>
    <xf numFmtId="3" fontId="11" fillId="0" borderId="39" xfId="0" applyNumberFormat="1" applyFont="1" applyBorder="1"/>
    <xf numFmtId="10" fontId="3" fillId="2" borderId="0" xfId="0" applyNumberFormat="1" applyFont="1" applyFill="1"/>
    <xf numFmtId="176" fontId="0" fillId="0" borderId="0" xfId="0" applyNumberFormat="1"/>
    <xf numFmtId="164" fontId="0" fillId="2" borderId="7" xfId="4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3" fillId="8" borderId="0" xfId="0" applyFont="1" applyFill="1"/>
    <xf numFmtId="0" fontId="10" fillId="8" borderId="0" xfId="0" applyFont="1" applyFill="1"/>
    <xf numFmtId="0" fontId="5" fillId="8" borderId="0" xfId="0" applyFont="1" applyFill="1"/>
    <xf numFmtId="0" fontId="3" fillId="8" borderId="0" xfId="0" applyFont="1" applyFill="1" applyAlignment="1">
      <alignment horizontal="right"/>
    </xf>
    <xf numFmtId="10" fontId="5" fillId="8" borderId="0" xfId="0" applyNumberFormat="1" applyFont="1" applyFill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35" fillId="0" borderId="0" xfId="0" applyFont="1"/>
    <xf numFmtId="2" fontId="18" fillId="2" borderId="0" xfId="0" applyNumberFormat="1" applyFont="1" applyFill="1"/>
    <xf numFmtId="0" fontId="0" fillId="10" borderId="0" xfId="0" applyFill="1"/>
    <xf numFmtId="0" fontId="0" fillId="2" borderId="7" xfId="0" applyFill="1" applyBorder="1"/>
    <xf numFmtId="171" fontId="14" fillId="2" borderId="0" xfId="1" applyNumberFormat="1" applyFont="1" applyFill="1" applyBorder="1" applyAlignment="1">
      <alignment horizontal="right" vertical="center"/>
    </xf>
    <xf numFmtId="0" fontId="7" fillId="2" borderId="25" xfId="0" applyFont="1" applyFill="1" applyBorder="1" applyAlignment="1">
      <alignment horizontal="left"/>
    </xf>
    <xf numFmtId="0" fontId="7" fillId="2" borderId="13" xfId="0" applyFont="1" applyFill="1" applyBorder="1"/>
    <xf numFmtId="164" fontId="0" fillId="2" borderId="13" xfId="4" applyFont="1" applyFill="1" applyBorder="1"/>
    <xf numFmtId="0" fontId="7" fillId="2" borderId="4" xfId="0" applyFont="1" applyFill="1" applyBorder="1" applyAlignment="1">
      <alignment horizontal="left"/>
    </xf>
    <xf numFmtId="0" fontId="7" fillId="2" borderId="32" xfId="0" applyFont="1" applyFill="1" applyBorder="1"/>
    <xf numFmtId="3" fontId="7" fillId="2" borderId="22" xfId="0" applyNumberFormat="1" applyFont="1" applyFill="1" applyBorder="1"/>
    <xf numFmtId="0" fontId="5" fillId="2" borderId="62" xfId="0" applyFont="1" applyFill="1" applyBorder="1"/>
    <xf numFmtId="0" fontId="7" fillId="2" borderId="0" xfId="0" applyFont="1" applyFill="1" applyAlignment="1">
      <alignment horizontal="left"/>
    </xf>
    <xf numFmtId="0" fontId="7" fillId="2" borderId="0" xfId="0" applyFont="1" applyFill="1"/>
    <xf numFmtId="3" fontId="17" fillId="2" borderId="0" xfId="0" applyNumberFormat="1" applyFont="1" applyFill="1" applyAlignment="1">
      <alignment horizontal="right" vertical="center"/>
    </xf>
    <xf numFmtId="0" fontId="7" fillId="2" borderId="40" xfId="0" applyFont="1" applyFill="1" applyBorder="1" applyAlignment="1">
      <alignment horizontal="left"/>
    </xf>
    <xf numFmtId="0" fontId="7" fillId="2" borderId="41" xfId="0" applyFont="1" applyFill="1" applyBorder="1"/>
    <xf numFmtId="3" fontId="13" fillId="2" borderId="38" xfId="0" applyNumberFormat="1" applyFont="1" applyFill="1" applyBorder="1"/>
    <xf numFmtId="3" fontId="13" fillId="2" borderId="19" xfId="0" applyNumberFormat="1" applyFont="1" applyFill="1" applyBorder="1"/>
    <xf numFmtId="0" fontId="0" fillId="9" borderId="9" xfId="0" applyFill="1" applyBorder="1"/>
    <xf numFmtId="9" fontId="0" fillId="9" borderId="10" xfId="0" applyNumberFormat="1" applyFill="1" applyBorder="1"/>
    <xf numFmtId="3" fontId="13" fillId="9" borderId="38" xfId="0" applyNumberFormat="1" applyFont="1" applyFill="1" applyBorder="1"/>
    <xf numFmtId="0" fontId="0" fillId="13" borderId="3" xfId="0" applyFill="1" applyBorder="1"/>
    <xf numFmtId="9" fontId="0" fillId="13" borderId="5" xfId="0" applyNumberFormat="1" applyFill="1" applyBorder="1"/>
    <xf numFmtId="3" fontId="13" fillId="13" borderId="35" xfId="0" applyNumberFormat="1" applyFont="1" applyFill="1" applyBorder="1"/>
    <xf numFmtId="0" fontId="0" fillId="13" borderId="9" xfId="0" applyFill="1" applyBorder="1"/>
    <xf numFmtId="9" fontId="0" fillId="13" borderId="10" xfId="4" applyNumberFormat="1" applyFont="1" applyFill="1" applyBorder="1"/>
    <xf numFmtId="165" fontId="0" fillId="13" borderId="10" xfId="1" applyFont="1" applyFill="1" applyBorder="1"/>
    <xf numFmtId="164" fontId="0" fillId="13" borderId="10" xfId="4" applyFont="1" applyFill="1" applyBorder="1"/>
    <xf numFmtId="0" fontId="0" fillId="13" borderId="0" xfId="0" applyFill="1"/>
    <xf numFmtId="9" fontId="0" fillId="9" borderId="10" xfId="4" applyNumberFormat="1" applyFont="1" applyFill="1" applyBorder="1"/>
    <xf numFmtId="0" fontId="0" fillId="9" borderId="11" xfId="0" applyFill="1" applyBorder="1"/>
    <xf numFmtId="164" fontId="0" fillId="9" borderId="12" xfId="4" applyFont="1" applyFill="1" applyBorder="1"/>
    <xf numFmtId="164" fontId="0" fillId="9" borderId="10" xfId="4" applyFont="1" applyFill="1" applyBorder="1"/>
    <xf numFmtId="0" fontId="0" fillId="9" borderId="0" xfId="0" applyFill="1"/>
    <xf numFmtId="0" fontId="0" fillId="2" borderId="27" xfId="0" applyFill="1" applyBorder="1"/>
    <xf numFmtId="164" fontId="0" fillId="2" borderId="42" xfId="4" applyFont="1" applyFill="1" applyBorder="1"/>
    <xf numFmtId="49" fontId="7" fillId="2" borderId="4" xfId="0" applyNumberFormat="1" applyFont="1" applyFill="1" applyBorder="1" applyAlignment="1">
      <alignment horizontal="right"/>
    </xf>
    <xf numFmtId="0" fontId="5" fillId="2" borderId="4" xfId="0" applyFont="1" applyFill="1" applyBorder="1" applyAlignment="1">
      <alignment horizontal="right"/>
    </xf>
    <xf numFmtId="3" fontId="11" fillId="0" borderId="26" xfId="0" applyNumberFormat="1" applyFont="1" applyBorder="1"/>
    <xf numFmtId="0" fontId="36" fillId="2" borderId="46" xfId="0" applyFont="1" applyFill="1" applyBorder="1" applyAlignment="1">
      <alignment horizontal="left"/>
    </xf>
    <xf numFmtId="0" fontId="36" fillId="2" borderId="34" xfId="0" applyFont="1" applyFill="1" applyBorder="1" applyAlignment="1">
      <alignment horizontal="left"/>
    </xf>
    <xf numFmtId="0" fontId="36" fillId="2" borderId="61" xfId="0" applyFont="1" applyFill="1" applyBorder="1" applyAlignment="1">
      <alignment horizontal="left"/>
    </xf>
    <xf numFmtId="165" fontId="0" fillId="9" borderId="12" xfId="1" applyFont="1" applyFill="1" applyBorder="1"/>
    <xf numFmtId="3" fontId="7" fillId="13" borderId="35" xfId="0" applyNumberFormat="1" applyFont="1" applyFill="1" applyBorder="1"/>
    <xf numFmtId="3" fontId="7" fillId="9" borderId="38" xfId="0" applyNumberFormat="1" applyFont="1" applyFill="1" applyBorder="1"/>
    <xf numFmtId="0" fontId="7" fillId="13" borderId="25" xfId="0" applyFont="1" applyFill="1" applyBorder="1" applyAlignment="1">
      <alignment horizontal="left"/>
    </xf>
    <xf numFmtId="0" fontId="7" fillId="13" borderId="4" xfId="0" applyFont="1" applyFill="1" applyBorder="1"/>
    <xf numFmtId="0" fontId="7" fillId="9" borderId="46" xfId="0" applyFont="1" applyFill="1" applyBorder="1" applyAlignment="1">
      <alignment horizontal="left"/>
    </xf>
    <xf numFmtId="0" fontId="7" fillId="9" borderId="13" xfId="0" applyFont="1" applyFill="1" applyBorder="1"/>
    <xf numFmtId="0" fontId="7" fillId="13" borderId="5" xfId="0" applyFont="1" applyFill="1" applyBorder="1"/>
    <xf numFmtId="0" fontId="7" fillId="9" borderId="12" xfId="0" applyFont="1" applyFill="1" applyBorder="1"/>
    <xf numFmtId="0" fontId="7" fillId="13" borderId="18" xfId="0" applyFont="1" applyFill="1" applyBorder="1" applyAlignment="1">
      <alignment horizontal="left"/>
    </xf>
    <xf numFmtId="0" fontId="7" fillId="13" borderId="0" xfId="0" applyFont="1" applyFill="1"/>
    <xf numFmtId="0" fontId="7" fillId="13" borderId="10" xfId="0" applyFont="1" applyFill="1" applyBorder="1"/>
    <xf numFmtId="164" fontId="0" fillId="13" borderId="5" xfId="4" applyFont="1" applyFill="1" applyBorder="1"/>
    <xf numFmtId="0" fontId="13" fillId="5" borderId="58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171" fontId="5" fillId="2" borderId="0" xfId="1" applyNumberFormat="1" applyFont="1" applyFill="1" applyBorder="1"/>
    <xf numFmtId="0" fontId="36" fillId="2" borderId="18" xfId="0" applyFont="1" applyFill="1" applyBorder="1" applyAlignment="1">
      <alignment horizontal="left"/>
    </xf>
    <xf numFmtId="0" fontId="7" fillId="2" borderId="6" xfId="0" applyFont="1" applyFill="1" applyBorder="1"/>
    <xf numFmtId="0" fontId="13" fillId="2" borderId="25" xfId="0" applyFont="1" applyFill="1" applyBorder="1" applyAlignment="1">
      <alignment horizontal="left"/>
    </xf>
    <xf numFmtId="0" fontId="0" fillId="14" borderId="0" xfId="0" applyFill="1" applyAlignment="1">
      <alignment vertical="top"/>
    </xf>
    <xf numFmtId="0" fontId="21" fillId="15" borderId="0" xfId="0" applyFont="1" applyFill="1" applyAlignment="1">
      <alignment vertical="top" wrapText="1"/>
    </xf>
    <xf numFmtId="0" fontId="0" fillId="16" borderId="2" xfId="0" applyFill="1" applyBorder="1" applyAlignment="1">
      <alignment vertical="top"/>
    </xf>
    <xf numFmtId="0" fontId="0" fillId="17" borderId="0" xfId="0" applyFill="1" applyAlignment="1">
      <alignment vertical="top"/>
    </xf>
    <xf numFmtId="0" fontId="0" fillId="18" borderId="0" xfId="0" applyFill="1" applyAlignment="1">
      <alignment vertical="top" wrapText="1"/>
    </xf>
    <xf numFmtId="0" fontId="3" fillId="19" borderId="0" xfId="0" applyFont="1" applyFill="1" applyAlignment="1">
      <alignment vertical="top" wrapText="1"/>
    </xf>
    <xf numFmtId="0" fontId="0" fillId="20" borderId="0" xfId="0" applyFill="1" applyAlignment="1">
      <alignment vertical="top" wrapText="1"/>
    </xf>
    <xf numFmtId="0" fontId="0" fillId="21" borderId="0" xfId="0" applyFill="1" applyAlignment="1">
      <alignment vertical="top" wrapText="1"/>
    </xf>
    <xf numFmtId="0" fontId="0" fillId="22" borderId="0" xfId="0" applyFill="1" applyAlignment="1">
      <alignment vertical="top"/>
    </xf>
    <xf numFmtId="0" fontId="0" fillId="23" borderId="0" xfId="0" applyFill="1" applyAlignment="1">
      <alignment vertical="top"/>
    </xf>
    <xf numFmtId="0" fontId="0" fillId="24" borderId="0" xfId="0" applyFill="1" applyAlignment="1">
      <alignment vertical="top"/>
    </xf>
    <xf numFmtId="0" fontId="0" fillId="25" borderId="0" xfId="0" applyFill="1" applyAlignment="1">
      <alignment vertical="top"/>
    </xf>
    <xf numFmtId="0" fontId="0" fillId="26" borderId="0" xfId="0" applyFill="1" applyAlignment="1">
      <alignment vertical="top"/>
    </xf>
    <xf numFmtId="0" fontId="32" fillId="2" borderId="0" xfId="0" applyFont="1" applyFill="1" applyAlignment="1">
      <alignment horizontal="right"/>
    </xf>
    <xf numFmtId="0" fontId="29" fillId="5" borderId="0" xfId="5" applyNumberFormat="1" applyFont="1" applyFill="1" applyAlignment="1">
      <alignment vertical="center"/>
    </xf>
    <xf numFmtId="39" fontId="37" fillId="5" borderId="0" xfId="6" applyFont="1" applyFill="1" applyAlignment="1">
      <alignment horizontal="left" vertical="center"/>
    </xf>
    <xf numFmtId="39" fontId="33" fillId="3" borderId="0" xfId="0" applyNumberFormat="1" applyFont="1" applyFill="1" applyAlignment="1">
      <alignment horizontal="right" vertical="center"/>
    </xf>
    <xf numFmtId="14" fontId="33" fillId="3" borderId="0" xfId="0" applyNumberFormat="1" applyFont="1" applyFill="1" applyAlignment="1">
      <alignment horizontal="right" vertical="center"/>
    </xf>
    <xf numFmtId="49" fontId="6" fillId="2" borderId="16" xfId="0" applyNumberFormat="1" applyFont="1" applyFill="1" applyBorder="1" applyAlignment="1">
      <alignment horizontal="left" vertical="center" indent="1"/>
    </xf>
    <xf numFmtId="49" fontId="6" fillId="2" borderId="18" xfId="0" applyNumberFormat="1" applyFont="1" applyFill="1" applyBorder="1" applyAlignment="1">
      <alignment horizontal="left" vertical="center" indent="1"/>
    </xf>
    <xf numFmtId="49" fontId="6" fillId="2" borderId="20" xfId="0" applyNumberFormat="1" applyFont="1" applyFill="1" applyBorder="1" applyAlignment="1">
      <alignment horizontal="left" vertical="center" indent="1"/>
    </xf>
    <xf numFmtId="0" fontId="9" fillId="2" borderId="32" xfId="0" applyFont="1" applyFill="1" applyBorder="1" applyAlignment="1">
      <alignment horizontal="left" vertical="center" indent="1"/>
    </xf>
    <xf numFmtId="175" fontId="38" fillId="2" borderId="0" xfId="0" applyNumberFormat="1" applyFont="1" applyFill="1"/>
    <xf numFmtId="0" fontId="38" fillId="2" borderId="9" xfId="0" applyFont="1" applyFill="1" applyBorder="1" applyAlignment="1">
      <alignment vertical="center"/>
    </xf>
    <xf numFmtId="170" fontId="18" fillId="2" borderId="0" xfId="0" applyNumberFormat="1" applyFont="1" applyFill="1"/>
    <xf numFmtId="0" fontId="20" fillId="2" borderId="18" xfId="0" applyFont="1" applyFill="1" applyBorder="1"/>
    <xf numFmtId="0" fontId="19" fillId="2" borderId="6" xfId="0" applyFont="1" applyFill="1" applyBorder="1" applyAlignment="1">
      <alignment vertical="center"/>
    </xf>
    <xf numFmtId="0" fontId="38" fillId="2" borderId="0" xfId="0" applyFont="1" applyFill="1"/>
    <xf numFmtId="168" fontId="38" fillId="2" borderId="0" xfId="0" applyNumberFormat="1" applyFont="1" applyFill="1"/>
    <xf numFmtId="172" fontId="38" fillId="7" borderId="10" xfId="4" applyNumberFormat="1" applyFont="1" applyFill="1" applyBorder="1"/>
    <xf numFmtId="0" fontId="39" fillId="2" borderId="0" xfId="0" applyFont="1" applyFill="1"/>
    <xf numFmtId="0" fontId="5" fillId="2" borderId="0" xfId="0" applyFont="1" applyFill="1" applyAlignment="1">
      <alignment horizontal="left"/>
    </xf>
    <xf numFmtId="0" fontId="0" fillId="27" borderId="0" xfId="0" applyFill="1" applyAlignment="1">
      <alignment vertical="top"/>
    </xf>
    <xf numFmtId="0" fontId="40" fillId="2" borderId="0" xfId="0" applyFont="1" applyFill="1"/>
    <xf numFmtId="3" fontId="40" fillId="2" borderId="0" xfId="0" applyNumberFormat="1" applyFont="1" applyFill="1"/>
    <xf numFmtId="0" fontId="42" fillId="2" borderId="0" xfId="0" applyFont="1" applyFill="1"/>
    <xf numFmtId="0" fontId="42" fillId="2" borderId="0" xfId="0" applyFont="1" applyFill="1" applyAlignment="1">
      <alignment vertical="center"/>
    </xf>
    <xf numFmtId="0" fontId="18" fillId="2" borderId="0" xfId="7" applyFont="1" applyFill="1"/>
    <xf numFmtId="164" fontId="5" fillId="7" borderId="4" xfId="4" applyFont="1" applyFill="1" applyBorder="1"/>
    <xf numFmtId="3" fontId="5" fillId="7" borderId="0" xfId="0" applyNumberFormat="1" applyFont="1" applyFill="1" applyAlignment="1">
      <alignment horizontal="right"/>
    </xf>
    <xf numFmtId="168" fontId="18" fillId="7" borderId="4" xfId="0" applyNumberFormat="1" applyFont="1" applyFill="1" applyBorder="1"/>
    <xf numFmtId="171" fontId="5" fillId="7" borderId="0" xfId="1" applyNumberFormat="1" applyFont="1" applyFill="1" applyBorder="1"/>
    <xf numFmtId="168" fontId="5" fillId="7" borderId="0" xfId="2" applyNumberFormat="1" applyFont="1" applyFill="1" applyBorder="1"/>
    <xf numFmtId="168" fontId="5" fillId="7" borderId="0" xfId="0" applyNumberFormat="1" applyFont="1" applyFill="1"/>
    <xf numFmtId="168" fontId="5" fillId="7" borderId="13" xfId="0" applyNumberFormat="1" applyFont="1" applyFill="1" applyBorder="1"/>
    <xf numFmtId="10" fontId="5" fillId="7" borderId="13" xfId="0" applyNumberFormat="1" applyFont="1" applyFill="1" applyBorder="1"/>
    <xf numFmtId="168" fontId="5" fillId="7" borderId="13" xfId="2" applyNumberFormat="1" applyFont="1" applyFill="1" applyBorder="1"/>
    <xf numFmtId="168" fontId="5" fillId="7" borderId="4" xfId="2" applyNumberFormat="1" applyFont="1" applyFill="1" applyBorder="1"/>
    <xf numFmtId="167" fontId="17" fillId="8" borderId="48" xfId="2" applyNumberFormat="1" applyFont="1" applyFill="1" applyBorder="1"/>
    <xf numFmtId="167" fontId="17" fillId="8" borderId="48" xfId="2" applyNumberFormat="1" applyFont="1" applyFill="1" applyBorder="1" applyAlignment="1">
      <alignment horizontal="right"/>
    </xf>
    <xf numFmtId="167" fontId="22" fillId="5" borderId="48" xfId="2" applyNumberFormat="1" applyFont="1" applyFill="1" applyBorder="1"/>
    <xf numFmtId="3" fontId="15" fillId="2" borderId="0" xfId="0" applyNumberFormat="1" applyFont="1" applyFill="1"/>
    <xf numFmtId="0" fontId="5" fillId="0" borderId="0" xfId="0" applyFont="1"/>
    <xf numFmtId="0" fontId="0" fillId="3" borderId="23" xfId="0" applyFill="1" applyBorder="1"/>
    <xf numFmtId="0" fontId="13" fillId="3" borderId="32" xfId="0" applyFont="1" applyFill="1" applyBorder="1"/>
    <xf numFmtId="0" fontId="13" fillId="3" borderId="22" xfId="0" applyFont="1" applyFill="1" applyBorder="1"/>
    <xf numFmtId="0" fontId="9" fillId="3" borderId="58" xfId="0" applyFont="1" applyFill="1" applyBorder="1"/>
    <xf numFmtId="1" fontId="2" fillId="11" borderId="44" xfId="2" applyNumberFormat="1" applyFont="1" applyFill="1" applyBorder="1" applyAlignment="1"/>
    <xf numFmtId="1" fontId="2" fillId="11" borderId="32" xfId="2" applyNumberFormat="1" applyFont="1" applyFill="1" applyBorder="1" applyAlignment="1"/>
    <xf numFmtId="0" fontId="9" fillId="11" borderId="58" xfId="0" applyFont="1" applyFill="1" applyBorder="1"/>
    <xf numFmtId="0" fontId="9" fillId="12" borderId="44" xfId="0" applyFont="1" applyFill="1" applyBorder="1"/>
    <xf numFmtId="0" fontId="9" fillId="12" borderId="32" xfId="0" applyFont="1" applyFill="1" applyBorder="1"/>
    <xf numFmtId="0" fontId="11" fillId="12" borderId="32" xfId="0" applyFont="1" applyFill="1" applyBorder="1" applyAlignment="1">
      <alignment wrapText="1"/>
    </xf>
    <xf numFmtId="0" fontId="9" fillId="12" borderId="32" xfId="0" applyFont="1" applyFill="1" applyBorder="1" applyAlignment="1">
      <alignment wrapText="1"/>
    </xf>
    <xf numFmtId="0" fontId="9" fillId="12" borderId="58" xfId="0" applyFont="1" applyFill="1" applyBorder="1" applyAlignment="1">
      <alignment wrapText="1"/>
    </xf>
    <xf numFmtId="0" fontId="9" fillId="12" borderId="17" xfId="0" applyFont="1" applyFill="1" applyBorder="1" applyAlignment="1">
      <alignment wrapText="1"/>
    </xf>
    <xf numFmtId="0" fontId="13" fillId="5" borderId="22" xfId="0" applyFont="1" applyFill="1" applyBorder="1" applyAlignment="1">
      <alignment horizontal="left" vertical="center"/>
    </xf>
    <xf numFmtId="0" fontId="40" fillId="2" borderId="0" xfId="0" applyFont="1" applyFill="1" applyAlignment="1">
      <alignment horizontal="left" vertical="center"/>
    </xf>
    <xf numFmtId="0" fontId="5" fillId="2" borderId="4" xfId="0" applyFon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7" fontId="0" fillId="2" borderId="0" xfId="2" applyNumberFormat="1" applyFont="1" applyFill="1" applyBorder="1" applyAlignment="1">
      <alignment horizontal="left"/>
    </xf>
    <xf numFmtId="171" fontId="0" fillId="28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1" fontId="5" fillId="2" borderId="0" xfId="1" applyNumberFormat="1" applyFont="1" applyFill="1" applyBorder="1" applyAlignment="1">
      <alignment horizontal="left"/>
    </xf>
    <xf numFmtId="1" fontId="5" fillId="2" borderId="13" xfId="1" applyNumberFormat="1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71" fontId="0" fillId="2" borderId="10" xfId="0" applyNumberFormat="1" applyFill="1" applyBorder="1" applyAlignment="1">
      <alignment horizontal="left"/>
    </xf>
    <xf numFmtId="177" fontId="0" fillId="2" borderId="10" xfId="2" applyNumberFormat="1" applyFont="1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5" fillId="2" borderId="10" xfId="0" applyFont="1" applyFill="1" applyBorder="1" applyAlignment="1">
      <alignment horizontal="left"/>
    </xf>
    <xf numFmtId="1" fontId="5" fillId="2" borderId="10" xfId="1" applyNumberFormat="1" applyFont="1" applyFill="1" applyBorder="1" applyAlignment="1">
      <alignment horizontal="left"/>
    </xf>
    <xf numFmtId="1" fontId="5" fillId="2" borderId="12" xfId="1" applyNumberFormat="1" applyFont="1" applyFill="1" applyBorder="1" applyAlignment="1">
      <alignment horizontal="left"/>
    </xf>
    <xf numFmtId="0" fontId="2" fillId="28" borderId="10" xfId="0" applyFont="1" applyFill="1" applyBorder="1" applyAlignment="1">
      <alignment horizontal="right"/>
    </xf>
    <xf numFmtId="0" fontId="10" fillId="2" borderId="4" xfId="0" applyFont="1" applyFill="1" applyBorder="1"/>
    <xf numFmtId="0" fontId="10" fillId="13" borderId="59" xfId="0" applyFont="1" applyFill="1" applyBorder="1"/>
    <xf numFmtId="171" fontId="10" fillId="2" borderId="0" xfId="0" applyNumberFormat="1" applyFont="1" applyFill="1"/>
    <xf numFmtId="171" fontId="10" fillId="13" borderId="60" xfId="0" applyNumberFormat="1" applyFont="1" applyFill="1" applyBorder="1"/>
    <xf numFmtId="177" fontId="10" fillId="2" borderId="0" xfId="2" applyNumberFormat="1" applyFont="1" applyFill="1" applyBorder="1" applyAlignment="1">
      <alignment horizontal="right"/>
    </xf>
    <xf numFmtId="177" fontId="10" fillId="2" borderId="0" xfId="2" applyNumberFormat="1" applyFont="1" applyFill="1" applyBorder="1" applyAlignment="1"/>
    <xf numFmtId="177" fontId="10" fillId="13" borderId="60" xfId="0" applyNumberFormat="1" applyFont="1" applyFill="1" applyBorder="1"/>
    <xf numFmtId="171" fontId="10" fillId="28" borderId="0" xfId="0" applyNumberFormat="1" applyFont="1" applyFill="1"/>
    <xf numFmtId="171" fontId="10" fillId="30" borderId="60" xfId="0" applyNumberFormat="1" applyFont="1" applyFill="1" applyBorder="1"/>
    <xf numFmtId="1" fontId="10" fillId="2" borderId="0" xfId="1" applyNumberFormat="1" applyFont="1" applyFill="1" applyBorder="1" applyAlignment="1"/>
    <xf numFmtId="1" fontId="10" fillId="2" borderId="10" xfId="1" applyNumberFormat="1" applyFont="1" applyFill="1" applyBorder="1" applyAlignment="1"/>
    <xf numFmtId="1" fontId="10" fillId="2" borderId="9" xfId="1" applyNumberFormat="1" applyFont="1" applyFill="1" applyBorder="1" applyAlignment="1"/>
    <xf numFmtId="1" fontId="10" fillId="2" borderId="9" xfId="4" applyNumberFormat="1" applyFont="1" applyFill="1" applyBorder="1" applyAlignment="1"/>
    <xf numFmtId="1" fontId="10" fillId="2" borderId="0" xfId="4" applyNumberFormat="1" applyFont="1" applyFill="1" applyBorder="1" applyAlignment="1"/>
    <xf numFmtId="1" fontId="10" fillId="2" borderId="10" xfId="4" applyNumberFormat="1" applyFont="1" applyFill="1" applyBorder="1" applyAlignment="1"/>
    <xf numFmtId="171" fontId="10" fillId="13" borderId="59" xfId="0" applyNumberFormat="1" applyFont="1" applyFill="1" applyBorder="1"/>
    <xf numFmtId="1" fontId="10" fillId="2" borderId="0" xfId="2" applyNumberFormat="1" applyFont="1" applyFill="1" applyBorder="1" applyAlignment="1"/>
    <xf numFmtId="1" fontId="10" fillId="2" borderId="13" xfId="1" applyNumberFormat="1" applyFont="1" applyFill="1" applyBorder="1" applyAlignment="1"/>
    <xf numFmtId="1" fontId="10" fillId="2" borderId="13" xfId="2" applyNumberFormat="1" applyFont="1" applyFill="1" applyBorder="1" applyAlignment="1"/>
    <xf numFmtId="1" fontId="10" fillId="2" borderId="13" xfId="4" applyNumberFormat="1" applyFont="1" applyFill="1" applyBorder="1" applyAlignment="1"/>
    <xf numFmtId="1" fontId="10" fillId="2" borderId="12" xfId="4" applyNumberFormat="1" applyFont="1" applyFill="1" applyBorder="1" applyAlignment="1"/>
    <xf numFmtId="1" fontId="10" fillId="2" borderId="11" xfId="4" applyNumberFormat="1" applyFont="1" applyFill="1" applyBorder="1" applyAlignment="1"/>
    <xf numFmtId="171" fontId="10" fillId="13" borderId="15" xfId="0" applyNumberFormat="1" applyFont="1" applyFill="1" applyBorder="1"/>
    <xf numFmtId="0" fontId="44" fillId="5" borderId="16" xfId="0" applyFont="1" applyFill="1" applyBorder="1" applyAlignment="1">
      <alignment horizontal="left" vertical="center"/>
    </xf>
    <xf numFmtId="1" fontId="2" fillId="3" borderId="45" xfId="2" applyNumberFormat="1" applyFont="1" applyFill="1" applyBorder="1" applyAlignment="1"/>
    <xf numFmtId="0" fontId="2" fillId="2" borderId="25" xfId="0" applyFont="1" applyFill="1" applyBorder="1" applyAlignment="1">
      <alignment horizontal="left"/>
    </xf>
    <xf numFmtId="0" fontId="10" fillId="13" borderId="35" xfId="0" applyFont="1" applyFill="1" applyBorder="1"/>
    <xf numFmtId="171" fontId="3" fillId="2" borderId="18" xfId="0" applyNumberFormat="1" applyFont="1" applyFill="1" applyBorder="1" applyAlignment="1">
      <alignment horizontal="left" indent="1"/>
    </xf>
    <xf numFmtId="171" fontId="10" fillId="13" borderId="36" xfId="0" applyNumberFormat="1" applyFont="1" applyFill="1" applyBorder="1"/>
    <xf numFmtId="177" fontId="10" fillId="13" borderId="36" xfId="0" applyNumberFormat="1" applyFont="1" applyFill="1" applyBorder="1"/>
    <xf numFmtId="0" fontId="2" fillId="28" borderId="18" xfId="0" applyFont="1" applyFill="1" applyBorder="1" applyAlignment="1">
      <alignment horizontal="left"/>
    </xf>
    <xf numFmtId="171" fontId="10" fillId="30" borderId="36" xfId="0" applyNumberFormat="1" applyFont="1" applyFill="1" applyBorder="1"/>
    <xf numFmtId="0" fontId="2" fillId="2" borderId="18" xfId="0" applyFont="1" applyFill="1" applyBorder="1" applyAlignment="1">
      <alignment horizontal="left"/>
    </xf>
    <xf numFmtId="171" fontId="2" fillId="28" borderId="18" xfId="0" applyNumberFormat="1" applyFont="1" applyFill="1" applyBorder="1" applyAlignment="1">
      <alignment horizontal="left"/>
    </xf>
    <xf numFmtId="171" fontId="2" fillId="28" borderId="20" xfId="0" applyNumberFormat="1" applyFont="1" applyFill="1" applyBorder="1" applyAlignment="1">
      <alignment horizontal="left"/>
    </xf>
    <xf numFmtId="171" fontId="0" fillId="28" borderId="23" xfId="0" applyNumberFormat="1" applyFill="1" applyBorder="1" applyAlignment="1">
      <alignment horizontal="left"/>
    </xf>
    <xf numFmtId="0" fontId="2" fillId="28" borderId="42" xfId="0" applyFont="1" applyFill="1" applyBorder="1" applyAlignment="1">
      <alignment horizontal="right"/>
    </xf>
    <xf numFmtId="171" fontId="10" fillId="28" borderId="23" xfId="0" applyNumberFormat="1" applyFont="1" applyFill="1" applyBorder="1"/>
    <xf numFmtId="171" fontId="10" fillId="30" borderId="63" xfId="0" applyNumberFormat="1" applyFont="1" applyFill="1" applyBorder="1"/>
    <xf numFmtId="171" fontId="10" fillId="28" borderId="27" xfId="0" applyNumberFormat="1" applyFont="1" applyFill="1" applyBorder="1"/>
    <xf numFmtId="171" fontId="10" fillId="30" borderId="64" xfId="0" applyNumberFormat="1" applyFont="1" applyFill="1" applyBorder="1"/>
    <xf numFmtId="174" fontId="13" fillId="29" borderId="61" xfId="0" applyNumberFormat="1" applyFont="1" applyFill="1" applyBorder="1" applyAlignment="1">
      <alignment horizontal="left"/>
    </xf>
    <xf numFmtId="174" fontId="7" fillId="29" borderId="32" xfId="0" applyNumberFormat="1" applyFont="1" applyFill="1" applyBorder="1" applyAlignment="1">
      <alignment horizontal="left"/>
    </xf>
    <xf numFmtId="174" fontId="7" fillId="29" borderId="45" xfId="0" applyNumberFormat="1" applyFont="1" applyFill="1" applyBorder="1" applyAlignment="1">
      <alignment horizontal="left"/>
    </xf>
    <xf numFmtId="174" fontId="45" fillId="29" borderId="32" xfId="0" applyNumberFormat="1" applyFont="1" applyFill="1" applyBorder="1"/>
    <xf numFmtId="174" fontId="45" fillId="29" borderId="45" xfId="0" applyNumberFormat="1" applyFont="1" applyFill="1" applyBorder="1"/>
    <xf numFmtId="174" fontId="46" fillId="29" borderId="45" xfId="0" applyNumberFormat="1" applyFont="1" applyFill="1" applyBorder="1"/>
    <xf numFmtId="174" fontId="45" fillId="29" borderId="44" xfId="0" applyNumberFormat="1" applyFont="1" applyFill="1" applyBorder="1"/>
    <xf numFmtId="0" fontId="10" fillId="29" borderId="65" xfId="0" applyFont="1" applyFill="1" applyBorder="1"/>
    <xf numFmtId="0" fontId="10" fillId="29" borderId="62" xfId="0" applyFont="1" applyFill="1" applyBorder="1"/>
    <xf numFmtId="1" fontId="5" fillId="2" borderId="18" xfId="1" applyNumberFormat="1" applyFont="1" applyFill="1" applyBorder="1" applyAlignment="1">
      <alignment horizontal="left" indent="1"/>
    </xf>
    <xf numFmtId="171" fontId="10" fillId="13" borderId="35" xfId="0" applyNumberFormat="1" applyFont="1" applyFill="1" applyBorder="1"/>
    <xf numFmtId="1" fontId="5" fillId="2" borderId="46" xfId="1" applyNumberFormat="1" applyFont="1" applyFill="1" applyBorder="1" applyAlignment="1">
      <alignment horizontal="left" indent="1"/>
    </xf>
    <xf numFmtId="171" fontId="10" fillId="13" borderId="37" xfId="0" applyNumberFormat="1" applyFont="1" applyFill="1" applyBorder="1"/>
    <xf numFmtId="171" fontId="11" fillId="28" borderId="40" xfId="1" applyNumberFormat="1" applyFont="1" applyFill="1" applyBorder="1" applyAlignment="1">
      <alignment horizontal="left"/>
    </xf>
    <xf numFmtId="171" fontId="5" fillId="28" borderId="41" xfId="1" applyNumberFormat="1" applyFont="1" applyFill="1" applyBorder="1" applyAlignment="1">
      <alignment horizontal="left"/>
    </xf>
    <xf numFmtId="171" fontId="5" fillId="28" borderId="56" xfId="1" applyNumberFormat="1" applyFont="1" applyFill="1" applyBorder="1" applyAlignment="1">
      <alignment horizontal="left"/>
    </xf>
    <xf numFmtId="171" fontId="10" fillId="28" borderId="23" xfId="1" applyNumberFormat="1" applyFont="1" applyFill="1" applyBorder="1" applyAlignment="1"/>
    <xf numFmtId="171" fontId="10" fillId="30" borderId="57" xfId="1" applyNumberFormat="1" applyFont="1" applyFill="1" applyBorder="1" applyAlignment="1"/>
    <xf numFmtId="171" fontId="10" fillId="28" borderId="56" xfId="1" applyNumberFormat="1" applyFont="1" applyFill="1" applyBorder="1" applyAlignment="1"/>
    <xf numFmtId="171" fontId="10" fillId="30" borderId="42" xfId="1" applyNumberFormat="1" applyFont="1" applyFill="1" applyBorder="1" applyAlignment="1"/>
    <xf numFmtId="0" fontId="13" fillId="13" borderId="25" xfId="0" applyFont="1" applyFill="1" applyBorder="1" applyAlignment="1">
      <alignment horizontal="left"/>
    </xf>
    <xf numFmtId="0" fontId="13" fillId="9" borderId="46" xfId="0" applyFont="1" applyFill="1" applyBorder="1" applyAlignment="1">
      <alignment horizontal="left"/>
    </xf>
    <xf numFmtId="2" fontId="33" fillId="3" borderId="23" xfId="0" applyNumberFormat="1" applyFont="1" applyFill="1" applyBorder="1" applyAlignment="1">
      <alignment horizontal="right" vertical="center"/>
    </xf>
    <xf numFmtId="167" fontId="3" fillId="2" borderId="0" xfId="0" applyNumberFormat="1" applyFont="1" applyFill="1"/>
    <xf numFmtId="173" fontId="3" fillId="2" borderId="0" xfId="0" applyNumberFormat="1" applyFont="1" applyFill="1"/>
    <xf numFmtId="3" fontId="3" fillId="2" borderId="0" xfId="0" applyNumberFormat="1" applyFont="1" applyFill="1"/>
    <xf numFmtId="178" fontId="17" fillId="2" borderId="13" xfId="0" applyNumberFormat="1" applyFont="1" applyFill="1" applyBorder="1"/>
    <xf numFmtId="178" fontId="15" fillId="2" borderId="0" xfId="0" applyNumberFormat="1" applyFont="1" applyFill="1"/>
    <xf numFmtId="178" fontId="18" fillId="2" borderId="7" xfId="0" applyNumberFormat="1" applyFont="1" applyFill="1" applyBorder="1"/>
    <xf numFmtId="178" fontId="16" fillId="2" borderId="0" xfId="0" applyNumberFormat="1" applyFont="1" applyFill="1"/>
    <xf numFmtId="167" fontId="40" fillId="2" borderId="0" xfId="0" applyNumberFormat="1" applyFont="1" applyFill="1"/>
    <xf numFmtId="9" fontId="40" fillId="2" borderId="0" xfId="2" applyFont="1" applyFill="1"/>
    <xf numFmtId="168" fontId="40" fillId="2" borderId="0" xfId="2" applyNumberFormat="1" applyFont="1" applyFill="1"/>
    <xf numFmtId="9" fontId="40" fillId="2" borderId="0" xfId="0" applyNumberFormat="1" applyFont="1" applyFill="1"/>
    <xf numFmtId="179" fontId="38" fillId="2" borderId="0" xfId="0" applyNumberFormat="1" applyFont="1" applyFill="1" applyAlignment="1">
      <alignment horizontal="right"/>
    </xf>
    <xf numFmtId="179" fontId="18" fillId="2" borderId="0" xfId="0" applyNumberFormat="1" applyFont="1" applyFill="1" applyAlignment="1">
      <alignment horizontal="right"/>
    </xf>
    <xf numFmtId="179" fontId="18" fillId="2" borderId="4" xfId="0" applyNumberFormat="1" applyFont="1" applyFill="1" applyBorder="1" applyAlignment="1">
      <alignment horizontal="right"/>
    </xf>
    <xf numFmtId="0" fontId="16" fillId="2" borderId="36" xfId="0" applyFont="1" applyFill="1" applyBorder="1" applyAlignment="1">
      <alignment horizontal="center" vertical="center"/>
    </xf>
    <xf numFmtId="172" fontId="18" fillId="2" borderId="36" xfId="4" applyNumberFormat="1" applyFont="1" applyFill="1" applyBorder="1"/>
    <xf numFmtId="172" fontId="38" fillId="2" borderId="36" xfId="4" applyNumberFormat="1" applyFont="1" applyFill="1" applyBorder="1"/>
    <xf numFmtId="0" fontId="47" fillId="2" borderId="0" xfId="0" applyFont="1" applyFill="1"/>
    <xf numFmtId="0" fontId="19" fillId="2" borderId="36" xfId="0" applyFont="1" applyFill="1" applyBorder="1" applyAlignment="1">
      <alignment horizontal="center" vertical="center"/>
    </xf>
    <xf numFmtId="0" fontId="18" fillId="2" borderId="32" xfId="0" applyFont="1" applyFill="1" applyBorder="1" applyAlignment="1">
      <alignment vertical="center"/>
    </xf>
    <xf numFmtId="0" fontId="18" fillId="2" borderId="7" xfId="0" applyFont="1" applyFill="1" applyBorder="1" applyAlignment="1">
      <alignment horizontal="left"/>
    </xf>
    <xf numFmtId="0" fontId="19" fillId="2" borderId="7" xfId="0" applyFont="1" applyFill="1" applyBorder="1" applyAlignment="1">
      <alignment vertical="center"/>
    </xf>
    <xf numFmtId="0" fontId="19" fillId="2" borderId="7" xfId="0" applyFont="1" applyFill="1" applyBorder="1" applyAlignment="1">
      <alignment horizontal="left" vertical="center"/>
    </xf>
    <xf numFmtId="0" fontId="18" fillId="2" borderId="0" xfId="0" applyFont="1" applyFill="1" applyAlignment="1">
      <alignment vertical="center"/>
    </xf>
    <xf numFmtId="0" fontId="18" fillId="2" borderId="0" xfId="0" applyFont="1" applyFill="1" applyAlignment="1">
      <alignment horizontal="right" vertical="center"/>
    </xf>
    <xf numFmtId="0" fontId="38" fillId="2" borderId="0" xfId="0" applyFont="1" applyFill="1" applyAlignment="1">
      <alignment vertical="center"/>
    </xf>
    <xf numFmtId="0" fontId="18" fillId="2" borderId="4" xfId="0" quotePrefix="1" applyFont="1" applyFill="1" applyBorder="1"/>
    <xf numFmtId="0" fontId="18" fillId="2" borderId="0" xfId="0" quotePrefix="1" applyFont="1" applyFill="1"/>
    <xf numFmtId="0" fontId="19" fillId="5" borderId="7" xfId="0" applyFont="1" applyFill="1" applyBorder="1" applyAlignment="1">
      <alignment horizontal="left"/>
    </xf>
    <xf numFmtId="0" fontId="16" fillId="2" borderId="52" xfId="0" applyFont="1" applyFill="1" applyBorder="1" applyAlignment="1">
      <alignment horizontal="center" vertical="center"/>
    </xf>
    <xf numFmtId="49" fontId="6" fillId="3" borderId="16" xfId="0" applyNumberFormat="1" applyFont="1" applyFill="1" applyBorder="1" applyAlignment="1">
      <alignment horizontal="left" vertical="center" indent="1"/>
    </xf>
    <xf numFmtId="49" fontId="6" fillId="3" borderId="22" xfId="0" applyNumberFormat="1" applyFont="1" applyFill="1" applyBorder="1" applyAlignment="1">
      <alignment horizontal="left" vertical="center" indent="1"/>
    </xf>
    <xf numFmtId="0" fontId="0" fillId="3" borderId="17" xfId="0" applyFill="1" applyBorder="1"/>
    <xf numFmtId="49" fontId="6" fillId="3" borderId="18" xfId="0" applyNumberFormat="1" applyFont="1" applyFill="1" applyBorder="1" applyAlignment="1">
      <alignment horizontal="left" vertical="center" indent="1"/>
    </xf>
    <xf numFmtId="49" fontId="6" fillId="3" borderId="0" xfId="0" applyNumberFormat="1" applyFont="1" applyFill="1" applyAlignment="1">
      <alignment horizontal="left" vertical="center" indent="1"/>
    </xf>
    <xf numFmtId="0" fontId="0" fillId="3" borderId="19" xfId="0" applyFill="1" applyBorder="1"/>
    <xf numFmtId="49" fontId="6" fillId="3" borderId="20" xfId="0" applyNumberFormat="1" applyFont="1" applyFill="1" applyBorder="1" applyAlignment="1">
      <alignment horizontal="left" vertical="center" indent="1"/>
    </xf>
    <xf numFmtId="49" fontId="6" fillId="3" borderId="23" xfId="0" applyNumberFormat="1" applyFont="1" applyFill="1" applyBorder="1" applyAlignment="1">
      <alignment horizontal="left" vertical="center" indent="1"/>
    </xf>
    <xf numFmtId="0" fontId="0" fillId="3" borderId="21" xfId="0" applyFill="1" applyBorder="1"/>
    <xf numFmtId="0" fontId="17" fillId="0" borderId="0" xfId="0" applyFont="1"/>
    <xf numFmtId="0" fontId="2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49" fontId="0" fillId="2" borderId="0" xfId="0" applyNumberFormat="1" applyFill="1"/>
    <xf numFmtId="0" fontId="48" fillId="2" borderId="0" xfId="0" applyFont="1" applyFill="1"/>
    <xf numFmtId="0" fontId="9" fillId="12" borderId="15" xfId="0" applyFont="1" applyFill="1" applyBorder="1" applyAlignment="1">
      <alignment vertical="top" wrapText="1"/>
    </xf>
    <xf numFmtId="0" fontId="2" fillId="2" borderId="0" xfId="0" applyFont="1" applyFill="1" applyAlignment="1">
      <alignment vertical="top"/>
    </xf>
    <xf numFmtId="0" fontId="13" fillId="5" borderId="46" xfId="0" applyFont="1" applyFill="1" applyBorder="1" applyAlignment="1">
      <alignment vertical="top"/>
    </xf>
    <xf numFmtId="0" fontId="13" fillId="5" borderId="13" xfId="0" applyFont="1" applyFill="1" applyBorder="1" applyAlignment="1">
      <alignment vertical="top"/>
    </xf>
    <xf numFmtId="0" fontId="13" fillId="5" borderId="12" xfId="0" applyFont="1" applyFill="1" applyBorder="1" applyAlignment="1">
      <alignment vertical="top"/>
    </xf>
    <xf numFmtId="1" fontId="2" fillId="3" borderId="12" xfId="2" applyNumberFormat="1" applyFont="1" applyFill="1" applyBorder="1" applyAlignment="1">
      <alignment vertical="top"/>
    </xf>
    <xf numFmtId="1" fontId="2" fillId="3" borderId="15" xfId="2" applyNumberFormat="1" applyFont="1" applyFill="1" applyBorder="1" applyAlignment="1">
      <alignment vertical="top"/>
    </xf>
    <xf numFmtId="164" fontId="2" fillId="3" borderId="15" xfId="4" applyFont="1" applyFill="1" applyBorder="1" applyAlignment="1">
      <alignment vertical="top"/>
    </xf>
    <xf numFmtId="0" fontId="2" fillId="3" borderId="2" xfId="0" applyFont="1" applyFill="1" applyBorder="1" applyAlignment="1">
      <alignment vertical="top"/>
    </xf>
    <xf numFmtId="0" fontId="9" fillId="3" borderId="15" xfId="0" applyFont="1" applyFill="1" applyBorder="1" applyAlignment="1">
      <alignment vertical="top"/>
    </xf>
    <xf numFmtId="0" fontId="9" fillId="11" borderId="2" xfId="0" applyFont="1" applyFill="1" applyBorder="1" applyAlignment="1">
      <alignment vertical="top"/>
    </xf>
    <xf numFmtId="0" fontId="9" fillId="11" borderId="15" xfId="0" applyFont="1" applyFill="1" applyBorder="1" applyAlignment="1">
      <alignment vertical="top"/>
    </xf>
    <xf numFmtId="0" fontId="9" fillId="12" borderId="11" xfId="0" applyFont="1" applyFill="1" applyBorder="1" applyAlignment="1">
      <alignment vertical="top"/>
    </xf>
    <xf numFmtId="0" fontId="9" fillId="12" borderId="15" xfId="0" applyFont="1" applyFill="1" applyBorder="1" applyAlignment="1">
      <alignment vertical="top"/>
    </xf>
    <xf numFmtId="0" fontId="11" fillId="12" borderId="15" xfId="0" applyFont="1" applyFill="1" applyBorder="1" applyAlignment="1">
      <alignment vertical="top" wrapText="1"/>
    </xf>
    <xf numFmtId="0" fontId="9" fillId="12" borderId="37" xfId="0" applyFont="1" applyFill="1" applyBorder="1" applyAlignment="1">
      <alignment vertical="top" wrapText="1"/>
    </xf>
    <xf numFmtId="0" fontId="41" fillId="2" borderId="0" xfId="0" applyFont="1" applyFill="1" applyAlignment="1">
      <alignment vertical="top"/>
    </xf>
    <xf numFmtId="0" fontId="0" fillId="14" borderId="0" xfId="0" applyFill="1" applyAlignment="1">
      <alignment vertical="top" wrapText="1"/>
    </xf>
    <xf numFmtId="3" fontId="11" fillId="0" borderId="43" xfId="0" applyNumberFormat="1" applyFont="1" applyBorder="1"/>
    <xf numFmtId="174" fontId="45" fillId="29" borderId="13" xfId="0" applyNumberFormat="1" applyFont="1" applyFill="1" applyBorder="1"/>
    <xf numFmtId="164" fontId="0" fillId="2" borderId="32" xfId="4" applyFont="1" applyFill="1" applyBorder="1"/>
    <xf numFmtId="0" fontId="0" fillId="2" borderId="6" xfId="0" applyFill="1" applyBorder="1"/>
    <xf numFmtId="0" fontId="3" fillId="2" borderId="3" xfId="0" applyFont="1" applyFill="1" applyBorder="1"/>
    <xf numFmtId="0" fontId="49" fillId="0" borderId="0" xfId="0" applyFont="1"/>
    <xf numFmtId="0" fontId="49" fillId="0" borderId="0" xfId="0" pivotButton="1" applyFont="1"/>
    <xf numFmtId="0" fontId="49" fillId="0" borderId="0" xfId="0" applyFont="1" applyAlignment="1">
      <alignment horizontal="left"/>
    </xf>
    <xf numFmtId="2" fontId="49" fillId="0" borderId="0" xfId="0" applyNumberFormat="1" applyFont="1"/>
    <xf numFmtId="176" fontId="49" fillId="0" borderId="0" xfId="0" applyNumberFormat="1" applyFont="1"/>
    <xf numFmtId="0" fontId="49" fillId="0" borderId="0" xfId="0" applyNumberFormat="1" applyFont="1"/>
    <xf numFmtId="167" fontId="9" fillId="2" borderId="23" xfId="2" applyNumberFormat="1" applyFont="1" applyFill="1" applyBorder="1" applyAlignment="1">
      <alignment horizontal="center" vertical="center"/>
    </xf>
    <xf numFmtId="167" fontId="9" fillId="2" borderId="21" xfId="2" applyNumberFormat="1" applyFont="1" applyFill="1" applyBorder="1" applyAlignment="1">
      <alignment horizontal="center" vertical="center"/>
    </xf>
    <xf numFmtId="167" fontId="9" fillId="3" borderId="30" xfId="2" applyNumberFormat="1" applyFont="1" applyFill="1" applyBorder="1" applyAlignment="1">
      <alignment horizontal="center" vertical="center"/>
    </xf>
    <xf numFmtId="167" fontId="9" fillId="3" borderId="31" xfId="2" applyNumberFormat="1" applyFont="1" applyFill="1" applyBorder="1" applyAlignment="1">
      <alignment horizontal="center" vertical="center"/>
    </xf>
    <xf numFmtId="167" fontId="9" fillId="2" borderId="4" xfId="2" applyNumberFormat="1" applyFont="1" applyFill="1" applyBorder="1" applyAlignment="1">
      <alignment horizontal="center" vertical="center"/>
    </xf>
    <xf numFmtId="167" fontId="9" fillId="2" borderId="26" xfId="2" applyNumberFormat="1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39" borderId="0" xfId="0" applyFill="1"/>
    <xf numFmtId="0" fontId="0" fillId="23" borderId="0" xfId="0" applyFill="1"/>
    <xf numFmtId="0" fontId="0" fillId="25" borderId="0" xfId="0" applyFill="1"/>
    <xf numFmtId="0" fontId="0" fillId="26" borderId="0" xfId="0" applyFill="1"/>
    <xf numFmtId="0" fontId="0" fillId="24" borderId="0" xfId="0" applyFill="1"/>
    <xf numFmtId="0" fontId="0" fillId="27" borderId="0" xfId="0" applyFill="1"/>
    <xf numFmtId="0" fontId="0" fillId="31" borderId="0" xfId="0" applyFill="1"/>
    <xf numFmtId="0" fontId="0" fillId="34" borderId="0" xfId="0" applyFill="1"/>
    <xf numFmtId="0" fontId="0" fillId="32" borderId="0" xfId="0" applyFill="1"/>
    <xf numFmtId="0" fontId="0" fillId="38" borderId="0" xfId="0" applyFill="1"/>
    <xf numFmtId="0" fontId="0" fillId="36" borderId="0" xfId="0" applyFill="1"/>
    <xf numFmtId="0" fontId="0" fillId="35" borderId="0" xfId="0" applyFill="1"/>
    <xf numFmtId="0" fontId="0" fillId="33" borderId="0" xfId="0" applyFill="1"/>
    <xf numFmtId="0" fontId="0" fillId="37" borderId="0" xfId="0" applyFill="1"/>
  </cellXfs>
  <cellStyles count="11">
    <cellStyle name="Comma" xfId="1" builtinId="3"/>
    <cellStyle name="Currency" xfId="4" builtinId="4"/>
    <cellStyle name="Normal" xfId="0" builtinId="0"/>
    <cellStyle name="Percent" xfId="2" builtinId="5"/>
    <cellStyle name="Standaard 2" xfId="7" xr:uid="{2AD12A54-16F8-4C0A-831B-D35C6E1D8B20}"/>
    <cellStyle name="Standaard_Blad1" xfId="6" xr:uid="{FA5CBA94-22D9-413C-BB05-37BC77CC09EF}"/>
    <cellStyle name="Standaard_residuele waarde" xfId="5" xr:uid="{A98CE5E3-329C-4741-9E98-7EDC4EB25B52}"/>
    <cellStyle name="Valuta 2" xfId="8" xr:uid="{5B01CF43-5E95-4FAD-ACC4-D7503E9485C4}"/>
    <cellStyle name="Valuta 2 2" xfId="10" xr:uid="{B901910D-A37F-4621-BF77-8B6C295E0E02}"/>
    <cellStyle name="Valuta 3" xfId="9" xr:uid="{16E9FDF4-524A-4128-BC85-149B9465CBC0}"/>
    <cellStyle name="Valuta_UPC rekenmodellen V2" xfId="3" xr:uid="{00000000-0005-0000-0000-000004000000}"/>
  </cellStyles>
  <dxfs count="5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</dxfs>
  <tableStyles count="0" defaultTableStyle="TableStyleMedium9" defaultPivotStyle="PivotStyleLight16"/>
  <colors>
    <mruColors>
      <color rgb="FF213951"/>
      <color rgb="FF996633"/>
      <color rgb="FF9FB93B"/>
      <color rgb="FF000000"/>
      <color rgb="FFE6E7E8"/>
      <color rgb="FFBCBEC0"/>
      <color rgb="FF58595B"/>
      <color rgb="FF00387B"/>
      <color rgb="FFE1D83F"/>
      <color rgb="FFCBB2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verdeling huur / koop / sociaal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0.24841666666666667"/>
          <c:y val="0.1459991506366744"/>
          <c:w val="0.50316666666666665"/>
          <c:h val="0.6305478393450155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320-42A3-BDCE-50178A1B57E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320-42A3-BDCE-50178A1B57E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320-42A3-BDCE-50178A1B57E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320-42A3-BDCE-50178A1B57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Stichtingskosten!$I$107:$I$110</c:f>
              <c:strCache>
                <c:ptCount val="4"/>
                <c:pt idx="0">
                  <c:v>huur </c:v>
                </c:pt>
                <c:pt idx="1">
                  <c:v>koop</c:v>
                </c:pt>
                <c:pt idx="2">
                  <c:v>midden huur</c:v>
                </c:pt>
                <c:pt idx="3">
                  <c:v>sociaal</c:v>
                </c:pt>
              </c:strCache>
            </c:strRef>
          </c:cat>
          <c:val>
            <c:numRef>
              <c:f>Stichtingskosten!$J$107:$J$110</c:f>
              <c:numCache>
                <c:formatCode>#,##0</c:formatCode>
                <c:ptCount val="4"/>
                <c:pt idx="0">
                  <c:v>0</c:v>
                </c:pt>
                <c:pt idx="1">
                  <c:v>800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320-42A3-BDCE-50178A1B57E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 w="0" cap="rnd">
          <a:noFill/>
          <a:beve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bouwkosten / grondkosten</a:t>
            </a:r>
          </a:p>
        </c:rich>
      </c:tx>
      <c:layout>
        <c:manualLayout>
          <c:xMode val="edge"/>
          <c:yMode val="edge"/>
          <c:x val="0.24893949067177409"/>
          <c:y val="3.7036969663738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0.27015733333333336"/>
          <c:y val="0.13965805950421209"/>
          <c:w val="0.50525155555555556"/>
          <c:h val="0.631485333365181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shade val="53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2FD-491F-BE88-F624DCF50F0A}"/>
              </c:ext>
            </c:extLst>
          </c:dPt>
          <c:dPt>
            <c:idx val="1"/>
            <c:bubble3D val="0"/>
            <c:spPr>
              <a:solidFill>
                <a:schemeClr val="accent2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2FD-491F-BE88-F624DCF50F0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2FD-491F-BE88-F624DCF50F0A}"/>
              </c:ext>
            </c:extLst>
          </c:dPt>
          <c:dPt>
            <c:idx val="3"/>
            <c:bubble3D val="0"/>
            <c:spPr>
              <a:solidFill>
                <a:schemeClr val="accent2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2FD-491F-BE88-F624DCF50F0A}"/>
              </c:ext>
            </c:extLst>
          </c:dPt>
          <c:dPt>
            <c:idx val="4"/>
            <c:bubble3D val="0"/>
            <c:spPr>
              <a:solidFill>
                <a:schemeClr val="accent2">
                  <a:tint val="5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2FD-491F-BE88-F624DCF50F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Stichtingskosten!$B$107:$B$111</c:f>
              <c:strCache>
                <c:ptCount val="5"/>
                <c:pt idx="0">
                  <c:v>totaal stichtingskosten - bouwkosten</c:v>
                </c:pt>
                <c:pt idx="1">
                  <c:v>totaal bouwkosten</c:v>
                </c:pt>
                <c:pt idx="2">
                  <c:v>totaal bouwgrond</c:v>
                </c:pt>
                <c:pt idx="3">
                  <c:v>totaal stichtingskosten + grond</c:v>
                </c:pt>
                <c:pt idx="4">
                  <c:v>totaal stichtingskosten</c:v>
                </c:pt>
              </c:strCache>
            </c:strRef>
          </c:cat>
          <c:val>
            <c:numRef>
              <c:f>Stichtingskosten!$C$107:$C$111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E2FD-491F-BE88-F624DCF50F0A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shade val="53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E2FD-491F-BE88-F624DCF50F0A}"/>
              </c:ext>
            </c:extLst>
          </c:dPt>
          <c:dPt>
            <c:idx val="1"/>
            <c:bubble3D val="0"/>
            <c:spPr>
              <a:solidFill>
                <a:schemeClr val="accent2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E2FD-491F-BE88-F624DCF50F0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E2FD-491F-BE88-F624DCF50F0A}"/>
              </c:ext>
            </c:extLst>
          </c:dPt>
          <c:dPt>
            <c:idx val="3"/>
            <c:bubble3D val="0"/>
            <c:spPr>
              <a:solidFill>
                <a:schemeClr val="accent2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E2FD-491F-BE88-F624DCF50F0A}"/>
              </c:ext>
            </c:extLst>
          </c:dPt>
          <c:dPt>
            <c:idx val="4"/>
            <c:bubble3D val="0"/>
            <c:spPr>
              <a:solidFill>
                <a:schemeClr val="accent2">
                  <a:tint val="5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E2FD-491F-BE88-F624DCF50F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Stichtingskosten!$B$107:$B$111</c:f>
              <c:strCache>
                <c:ptCount val="5"/>
                <c:pt idx="0">
                  <c:v>totaal stichtingskosten - bouwkosten</c:v>
                </c:pt>
                <c:pt idx="1">
                  <c:v>totaal bouwkosten</c:v>
                </c:pt>
                <c:pt idx="2">
                  <c:v>totaal bouwgrond</c:v>
                </c:pt>
                <c:pt idx="3">
                  <c:v>totaal stichtingskosten + grond</c:v>
                </c:pt>
                <c:pt idx="4">
                  <c:v>totaal stichtingskosten</c:v>
                </c:pt>
              </c:strCache>
            </c:strRef>
          </c:cat>
          <c:val>
            <c:numRef>
              <c:f>Stichtingskosten!$D$107:$D$111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15-E2FD-491F-BE88-F624DCF50F0A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2">
                  <a:shade val="53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2FD-491F-BE88-F624DCF50F0A}"/>
              </c:ext>
            </c:extLst>
          </c:dPt>
          <c:dPt>
            <c:idx val="1"/>
            <c:bubble3D val="0"/>
            <c:spPr>
              <a:solidFill>
                <a:schemeClr val="accent2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2FD-491F-BE88-F624DCF50F0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2FD-491F-BE88-F624DCF50F0A}"/>
              </c:ext>
            </c:extLst>
          </c:dPt>
          <c:dPt>
            <c:idx val="3"/>
            <c:bubble3D val="0"/>
            <c:spPr>
              <a:solidFill>
                <a:schemeClr val="accent2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2FD-491F-BE88-F624DCF50F0A}"/>
              </c:ext>
            </c:extLst>
          </c:dPt>
          <c:dPt>
            <c:idx val="4"/>
            <c:bubble3D val="0"/>
            <c:spPr>
              <a:solidFill>
                <a:schemeClr val="accent2">
                  <a:tint val="5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2FD-491F-BE88-F624DCF50F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Stichtingskosten!$B$107:$B$111</c:f>
              <c:strCache>
                <c:ptCount val="5"/>
                <c:pt idx="0">
                  <c:v>totaal stichtingskosten - bouwkosten</c:v>
                </c:pt>
                <c:pt idx="1">
                  <c:v>totaal bouwkosten</c:v>
                </c:pt>
                <c:pt idx="2">
                  <c:v>totaal bouwgrond</c:v>
                </c:pt>
                <c:pt idx="3">
                  <c:v>totaal stichtingskosten + grond</c:v>
                </c:pt>
                <c:pt idx="4">
                  <c:v>totaal stichtingskosten</c:v>
                </c:pt>
              </c:strCache>
            </c:strRef>
          </c:cat>
          <c:val>
            <c:numRef>
              <c:f>Stichtingskosten!$E$107:$E$111</c:f>
              <c:numCache>
                <c:formatCode>_-[$€-2]\ * #,##0_-;_-[$€-2]\ * #,##0\-;_-[$€-2]\ * "-"_-;_-@_-</c:formatCode>
                <c:ptCount val="5"/>
                <c:pt idx="0">
                  <c:v>355454.83978002029</c:v>
                </c:pt>
                <c:pt idx="1">
                  <c:v>1974318.1885072801</c:v>
                </c:pt>
                <c:pt idx="2">
                  <c:v>946012.0956796417</c:v>
                </c:pt>
                <c:pt idx="3">
                  <c:v>3275785.1239669421</c:v>
                </c:pt>
                <c:pt idx="4">
                  <c:v>2329773.0282873004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2FD-491F-BE88-F624DCF50F0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0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[Residuele grondwaarde berekening_basis.xlsm]revit_input_draaitabel!Draaitabel15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verdeling typologieën</a:t>
            </a:r>
          </a:p>
        </c:rich>
      </c:tx>
      <c:layout>
        <c:manualLayout>
          <c:xMode val="edge"/>
          <c:yMode val="edge"/>
          <c:x val="0.26244644444444443"/>
          <c:y val="2.3916666666666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shade val="42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2">
              <a:shade val="5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2">
              <a:shade val="68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2">
              <a:shade val="80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2">
              <a:shade val="93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2">
              <a:tint val="94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2">
              <a:tint val="81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2">
              <a:tint val="69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2">
              <a:tint val="5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2">
              <a:tint val="43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2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>
              <a:shade val="42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2">
              <a:shade val="5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5"/>
        <c:spPr>
          <a:solidFill>
            <a:schemeClr val="accent2">
              <a:shade val="68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2">
              <a:shade val="80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2">
              <a:shade val="93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2">
              <a:tint val="94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2">
              <a:tint val="81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2">
              <a:tint val="69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2">
              <a:tint val="5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2">
              <a:tint val="43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4960111111111111"/>
          <c:y val="0.13158222222222221"/>
          <c:w val="0.51257577777777774"/>
          <c:h val="0.64071972222222218"/>
        </c:manualLayout>
      </c:layout>
      <c:doughnutChart>
        <c:varyColors val="1"/>
        <c:ser>
          <c:idx val="0"/>
          <c:order val="0"/>
          <c:tx>
            <c:strRef>
              <c:f>revit_input_draaitabel!$B$40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tint val="69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18-44E5-BAFB-0FC97EB1E90C}"/>
              </c:ext>
            </c:extLst>
          </c:dPt>
          <c:dPt>
            <c:idx val="1"/>
            <c:bubble3D val="0"/>
            <c:spPr>
              <a:solidFill>
                <a:schemeClr val="accent2">
                  <a:tint val="3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18-44E5-BAFB-0FC97EB1E90C}"/>
              </c:ext>
            </c:extLst>
          </c:dPt>
          <c:dPt>
            <c:idx val="2"/>
            <c:bubble3D val="0"/>
            <c:spPr>
              <a:solidFill>
                <a:schemeClr val="accent2">
                  <a:tint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018-44E5-BAFB-0FC97EB1E90C}"/>
              </c:ext>
            </c:extLst>
          </c:dPt>
          <c:dPt>
            <c:idx val="3"/>
            <c:bubble3D val="0"/>
            <c:spPr>
              <a:solidFill>
                <a:schemeClr val="accent2">
                  <a:tint val="9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018-44E5-BAFB-0FC97EB1E90C}"/>
              </c:ext>
            </c:extLst>
          </c:dPt>
          <c:dPt>
            <c:idx val="4"/>
            <c:bubble3D val="0"/>
            <c:spPr>
              <a:solidFill>
                <a:schemeClr val="accent2">
                  <a:tint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018-44E5-BAFB-0FC97EB1E90C}"/>
              </c:ext>
            </c:extLst>
          </c:dPt>
          <c:dPt>
            <c:idx val="5"/>
            <c:bubble3D val="0"/>
            <c:spPr>
              <a:solidFill>
                <a:schemeClr val="accent2">
                  <a:tint val="5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018-44E5-BAFB-0FC97EB1E90C}"/>
              </c:ext>
            </c:extLst>
          </c:dPt>
          <c:dPt>
            <c:idx val="6"/>
            <c:bubble3D val="0"/>
            <c:spPr>
              <a:solidFill>
                <a:schemeClr val="accent2">
                  <a:tint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018-44E5-BAFB-0FC97EB1E90C}"/>
              </c:ext>
            </c:extLst>
          </c:dPt>
          <c:dPt>
            <c:idx val="7"/>
            <c:bubble3D val="0"/>
            <c:spPr>
              <a:solidFill>
                <a:schemeClr val="accent2">
                  <a:tint val="1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018-44E5-BAFB-0FC97EB1E90C}"/>
              </c:ext>
            </c:extLst>
          </c:dPt>
          <c:dPt>
            <c:idx val="8"/>
            <c:bubble3D val="0"/>
            <c:spPr>
              <a:solidFill>
                <a:schemeClr val="accent2">
                  <a:tint val="4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018-44E5-BAFB-0FC97EB1E90C}"/>
              </c:ext>
            </c:extLst>
          </c:dPt>
          <c:dPt>
            <c:idx val="9"/>
            <c:bubble3D val="0"/>
            <c:spPr>
              <a:solidFill>
                <a:schemeClr val="accent2">
                  <a:tint val="7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018-44E5-BAFB-0FC97EB1E9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revit_input_draaitabel!$A$41:$A$42</c:f>
              <c:strCache>
                <c:ptCount val="1"/>
                <c:pt idx="0">
                  <c:v>toren_laag</c:v>
                </c:pt>
              </c:strCache>
            </c:strRef>
          </c:cat>
          <c:val>
            <c:numRef>
              <c:f>revit_input_draaitabel!$B$41:$B$42</c:f>
              <c:numCache>
                <c:formatCode>General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018-44E5-BAFB-0FC97EB1E90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664466666666665"/>
          <c:y val="0.81304416666666668"/>
          <c:w val="0.72482199999999997"/>
          <c:h val="0.156212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[Residuele grondwaarde berekening_basis.xlsm]revit_input_draaitabel!Draaitabel18</c:name>
    <c:fmtId val="2"/>
  </c:pivotSource>
  <c:chart>
    <c:title>
      <c:layout>
        <c:manualLayout>
          <c:xMode val="edge"/>
          <c:yMode val="edge"/>
          <c:x val="0.42198666666666668"/>
          <c:y val="3.45000000000000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6205666666666666"/>
          <c:y val="0.15627666666666667"/>
          <c:w val="0.50128688888888884"/>
          <c:h val="0.6266086111111111"/>
        </c:manualLayout>
      </c:layout>
      <c:doughnutChart>
        <c:varyColors val="1"/>
        <c:ser>
          <c:idx val="0"/>
          <c:order val="0"/>
          <c:tx>
            <c:strRef>
              <c:f>revit_input_draaitabel!$G$20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B4E-42AB-8840-7620B90466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B4E-42AB-8840-7620B90466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B4E-42AB-8840-7620B90466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revit_input_draaitabel!$G$21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revit_input_draaitabel!$G$21</c:f>
              <c:numCache>
                <c:formatCode>General</c:formatCode>
                <c:ptCount val="1"/>
                <c:pt idx="0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4E-42AB-8840-7620B90466C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413333333333331"/>
          <c:y val="0.82032166666666662"/>
          <c:w val="0.65193333333333336"/>
          <c:h val="0.1063797222222222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89</xdr:row>
      <xdr:rowOff>0</xdr:rowOff>
    </xdr:from>
    <xdr:to>
      <xdr:col>5</xdr:col>
      <xdr:colOff>0</xdr:colOff>
      <xdr:row>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9536827-7DEE-4596-BDCE-0614C09E109E}"/>
            </a:ext>
          </a:extLst>
        </xdr:cNvPr>
        <xdr:cNvSpPr>
          <a:spLocks noChangeArrowheads="1"/>
        </xdr:cNvSpPr>
      </xdr:nvSpPr>
      <xdr:spPr bwMode="auto">
        <a:xfrm>
          <a:off x="196215" y="4644390"/>
          <a:ext cx="8002905" cy="0"/>
        </a:xfrm>
        <a:prstGeom prst="rect">
          <a:avLst/>
        </a:prstGeom>
        <a:solidFill>
          <a:srgbClr val="4C7FC0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90000" tIns="0" rIns="90000" bIns="0" anchor="ctr" upright="1"/>
        <a:lstStyle/>
        <a:p>
          <a:pPr algn="r" rtl="0">
            <a:defRPr sz="1000"/>
          </a:pPr>
          <a:r>
            <a:rPr lang="nl-NL" sz="800" b="1" i="0" u="none" strike="noStrike" baseline="0">
              <a:solidFill>
                <a:srgbClr val="FFFFFF"/>
              </a:solidFill>
              <a:latin typeface="Arial"/>
              <a:cs typeface="Arial"/>
            </a:rPr>
            <a:t>Scenario's</a:t>
          </a:r>
        </a:p>
      </xdr:txBody>
    </xdr:sp>
    <xdr:clientData/>
  </xdr:twoCellAnchor>
  <xdr:twoCellAnchor editAs="oneCell">
    <xdr:from>
      <xdr:col>4</xdr:col>
      <xdr:colOff>469105</xdr:colOff>
      <xdr:row>0</xdr:row>
      <xdr:rowOff>159544</xdr:rowOff>
    </xdr:from>
    <xdr:to>
      <xdr:col>6</xdr:col>
      <xdr:colOff>522863</xdr:colOff>
      <xdr:row>2</xdr:row>
      <xdr:rowOff>171917</xdr:rowOff>
    </xdr:to>
    <xdr:pic>
      <xdr:nvPicPr>
        <xdr:cNvPr id="4" name="Picture 3" descr="MLA+ Architecture - Planning - Consultancy">
          <a:extLst>
            <a:ext uri="{FF2B5EF4-FFF2-40B4-BE49-F238E27FC236}">
              <a16:creationId xmlns:a16="http://schemas.microsoft.com/office/drawing/2014/main" id="{D58E87CE-D75A-471B-966A-F54DAF595E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4805" y="159544"/>
          <a:ext cx="1653958" cy="402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161925</xdr:colOff>
      <xdr:row>41</xdr:row>
      <xdr:rowOff>0</xdr:rowOff>
    </xdr:from>
    <xdr:to>
      <xdr:col>13</xdr:col>
      <xdr:colOff>204225</xdr:colOff>
      <xdr:row>60</xdr:row>
      <xdr:rowOff>161925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D915E661-E629-48E8-B25B-CDCBB6823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381000</xdr:colOff>
      <xdr:row>40</xdr:row>
      <xdr:rowOff>76199</xdr:rowOff>
    </xdr:from>
    <xdr:to>
      <xdr:col>22</xdr:col>
      <xdr:colOff>4200</xdr:colOff>
      <xdr:row>60</xdr:row>
      <xdr:rowOff>161925</xdr:rowOff>
    </xdr:to>
    <xdr:graphicFrame macro="">
      <xdr:nvGraphicFramePr>
        <xdr:cNvPr id="7" name="Grafiek 6">
          <a:extLst>
            <a:ext uri="{FF2B5EF4-FFF2-40B4-BE49-F238E27FC236}">
              <a16:creationId xmlns:a16="http://schemas.microsoft.com/office/drawing/2014/main" id="{9AD0DF8B-982F-411D-8E2D-8F96303116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161925</xdr:colOff>
      <xdr:row>61</xdr:row>
      <xdr:rowOff>104773</xdr:rowOff>
    </xdr:from>
    <xdr:to>
      <xdr:col>13</xdr:col>
      <xdr:colOff>204225</xdr:colOff>
      <xdr:row>81</xdr:row>
      <xdr:rowOff>85273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5764B29B-B94F-40B3-99FB-91FF74B2D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381000</xdr:colOff>
      <xdr:row>61</xdr:row>
      <xdr:rowOff>104775</xdr:rowOff>
    </xdr:from>
    <xdr:to>
      <xdr:col>22</xdr:col>
      <xdr:colOff>4200</xdr:colOff>
      <xdr:row>81</xdr:row>
      <xdr:rowOff>85275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D51F4755-2B8F-4C39-82C9-45DBBEC96D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7CF3A80-D863-4D7C-816D-66068EADD215}"/>
            </a:ext>
          </a:extLst>
        </xdr:cNvPr>
        <xdr:cNvSpPr>
          <a:spLocks noChangeArrowheads="1"/>
        </xdr:cNvSpPr>
      </xdr:nvSpPr>
      <xdr:spPr bwMode="auto">
        <a:xfrm>
          <a:off x="196215" y="4644390"/>
          <a:ext cx="8002905" cy="0"/>
        </a:xfrm>
        <a:prstGeom prst="rect">
          <a:avLst/>
        </a:prstGeom>
        <a:solidFill>
          <a:srgbClr val="4C7FC0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90000" tIns="0" rIns="90000" bIns="0" anchor="ctr" upright="1"/>
        <a:lstStyle/>
        <a:p>
          <a:pPr algn="r" rtl="0">
            <a:defRPr sz="1000"/>
          </a:pPr>
          <a:r>
            <a:rPr lang="nl-NL" sz="800" b="1" i="0" u="none" strike="noStrike" baseline="0">
              <a:solidFill>
                <a:srgbClr val="FFFFFF"/>
              </a:solidFill>
              <a:latin typeface="Arial"/>
              <a:cs typeface="Arial"/>
            </a:rPr>
            <a:t>Scenario's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9F4C246-D8C7-4B87-B583-EBD1D5425852}"/>
            </a:ext>
          </a:extLst>
        </xdr:cNvPr>
        <xdr:cNvSpPr>
          <a:spLocks noChangeArrowheads="1"/>
        </xdr:cNvSpPr>
      </xdr:nvSpPr>
      <xdr:spPr bwMode="auto">
        <a:xfrm>
          <a:off x="196215" y="4644390"/>
          <a:ext cx="8002905" cy="0"/>
        </a:xfrm>
        <a:prstGeom prst="rect">
          <a:avLst/>
        </a:prstGeom>
        <a:solidFill>
          <a:srgbClr val="4C7FC0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90000" tIns="0" rIns="90000" bIns="0" anchor="ctr" upright="1"/>
        <a:lstStyle/>
        <a:p>
          <a:pPr algn="r" rtl="0">
            <a:defRPr sz="1000"/>
          </a:pPr>
          <a:r>
            <a:rPr lang="nl-NL" sz="800" b="1" i="0" u="none" strike="noStrike" baseline="0">
              <a:solidFill>
                <a:srgbClr val="FFFFFF"/>
              </a:solidFill>
              <a:latin typeface="Arial"/>
              <a:cs typeface="Arial"/>
            </a:rPr>
            <a:t>Scenario's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hem Kolthof" refreshedDate="43901.503634490742" createdVersion="6" refreshedVersion="6" minRefreshableVersion="3" recordCount="7" xr:uid="{399EAD17-C227-41C2-A3EA-751D12F415EB}">
  <cacheSource type="worksheet">
    <worksheetSource ref="A1:G8" sheet="revit_input"/>
  </cacheSource>
  <cacheFields count="7">
    <cacheField name="typologie" numFmtId="0">
      <sharedItems count="3">
        <s v="retail"/>
        <s v="galerij"/>
        <s v="toren_laag"/>
      </sharedItems>
    </cacheField>
    <cacheField name="typologie_type" numFmtId="0">
      <sharedItems/>
    </cacheField>
    <cacheField name="bvo" numFmtId="0">
      <sharedItems count="6">
        <s v="1619,05"/>
        <s v="791,60"/>
        <s v="1039,35"/>
        <s v="777,93"/>
        <s v="857,14"/>
        <s v="237,80"/>
      </sharedItems>
    </cacheField>
    <cacheField name="gbo" numFmtId="0">
      <sharedItems/>
    </cacheField>
    <cacheField name="efficientie" numFmtId="0">
      <sharedItems containsMixedTypes="1" containsNumber="1" containsInteger="1" minValue="74" maxValue="85" count="4">
        <n v="85"/>
        <n v="74"/>
        <n v="79"/>
        <s v="78,6"/>
      </sharedItems>
    </cacheField>
    <cacheField name="unit aantal" numFmtId="0">
      <sharedItems containsSemiMixedTypes="0" containsString="0" containsNumber="1" containsInteger="1" minValue="1" maxValue="12"/>
    </cacheField>
    <cacheField name="gevel opp.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hem Kolthof" refreshedDate="44965.700389004633" createdVersion="6" refreshedVersion="8" minRefreshableVersion="3" recordCount="57" xr:uid="{8AB80135-1195-4F78-BF4B-3EB7363951BB}">
  <cacheSource type="worksheet">
    <worksheetSource name="revit_input"/>
  </cacheSource>
  <cacheFields count="18">
    <cacheField name="typologie" numFmtId="0">
      <sharedItems containsBlank="1" count="15">
        <m/>
        <s v="parking"/>
        <s v="toren_laag"/>
        <s v="grondgebonden" u="1"/>
        <s v="penthouse" u="1"/>
        <s v="Grand total" u="1"/>
        <s v="vrijstaand" u="1"/>
        <s v="verkeersruimte" u="1"/>
        <s v="toren_hoog" u="1"/>
        <s v="office" u="1"/>
        <s v="retail" u="1"/>
        <s v="buitenruimte" u="1"/>
        <s v="overig" u="1"/>
        <s v="galerij" u="1"/>
        <s v="Grand total: 3" u="1"/>
      </sharedItems>
    </cacheField>
    <cacheField name="typologie_type" numFmtId="0">
      <sharedItems containsBlank="1"/>
    </cacheField>
    <cacheField name="BVO" numFmtId="2">
      <sharedItems containsString="0" containsBlank="1" containsNumber="1" containsInteger="1" minValue="1000" maxValue="1000"/>
    </cacheField>
    <cacheField name="efficientie" numFmtId="2">
      <sharedItems containsString="0" containsBlank="1" containsNumber="1" containsInteger="1" minValue="80" maxValue="100"/>
    </cacheField>
    <cacheField name="GBO" numFmtId="0">
      <sharedItems containsString="0" containsBlank="1" containsNumber="1" containsInteger="1" minValue="800" maxValue="1000"/>
    </cacheField>
    <cacheField name="Gevel opp." numFmtId="0">
      <sharedItems containsString="0" containsBlank="1" containsNumber="1" containsInteger="1" minValue="3000" maxValue="3000"/>
    </cacheField>
    <cacheField name="woningen_aantal" numFmtId="2">
      <sharedItems containsString="0" containsBlank="1" containsNumber="1" containsInteger="1" minValue="0" maxValue="8"/>
    </cacheField>
    <cacheField name="factor" numFmtId="0">
      <sharedItems containsString="0" containsBlank="1" containsNumber="1" containsInteger="1" minValue="1" maxValue="1"/>
    </cacheField>
    <cacheField name="Gevel opp.2" numFmtId="0">
      <sharedItems containsString="0" containsBlank="1" containsNumber="1" containsInteger="1" minValue="3000" maxValue="3000"/>
    </cacheField>
    <cacheField name="leeg" numFmtId="0">
      <sharedItems containsNonDate="0" containsString="0" containsBlank="1"/>
    </cacheField>
    <cacheField name="leeg2" numFmtId="0">
      <sharedItems containsNonDate="0" containsString="0" containsBlank="1"/>
    </cacheField>
    <cacheField name="leeg3" numFmtId="0">
      <sharedItems containsNonDate="0" containsString="0" containsBlank="1"/>
    </cacheField>
    <cacheField name="leeg4" numFmtId="0">
      <sharedItems containsNonDate="0" containsString="0" containsBlank="1"/>
    </cacheField>
    <cacheField name="leeg5" numFmtId="0">
      <sharedItems containsNonDate="0" containsString="0" containsBlank="1"/>
    </cacheField>
    <cacheField name="leeg6" numFmtId="0">
      <sharedItems containsNonDate="0" containsString="0" containsBlank="1"/>
    </cacheField>
    <cacheField name="leeg7" numFmtId="0">
      <sharedItems containsNonDate="0" containsString="0" containsBlank="1"/>
    </cacheField>
    <cacheField name="leeg8" numFmtId="0">
      <sharedItems containsNonDate="0" containsString="0" containsBlank="1"/>
    </cacheField>
    <cacheField name="GBO_fictief" numFmtId="0">
      <sharedItems containsString="0" containsBlank="1" containsNumber="1" containsInteger="1" minValue="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hem Kolthof" refreshedDate="44965.700389120371" createdVersion="6" refreshedVersion="8" minRefreshableVersion="3" recordCount="57" xr:uid="{9D75E7C4-0486-467C-B396-F853F82DEAC1}">
  <cacheSource type="worksheet">
    <worksheetSource name="revit_input"/>
  </cacheSource>
  <cacheFields count="18">
    <cacheField name="typologie" numFmtId="0">
      <sharedItems containsBlank="1" count="15">
        <m/>
        <s v="parking"/>
        <s v="toren_laag"/>
        <s v="grondgebonden" u="1"/>
        <s v="penthouse" u="1"/>
        <s v="Grand total" u="1"/>
        <s v="vrijstaand" u="1"/>
        <s v="verkeersruimte" u="1"/>
        <s v="toren_hoog" u="1"/>
        <s v="office" u="1"/>
        <s v="retail" u="1"/>
        <s v="buitenruimte" u="1"/>
        <s v="overig" u="1"/>
        <s v="galerij" u="1"/>
        <s v="Grand total: 3" u="1"/>
      </sharedItems>
    </cacheField>
    <cacheField name="typologie_type" numFmtId="0">
      <sharedItems containsBlank="1" count="5">
        <m/>
        <s v="huur"/>
        <s v="koop"/>
        <s v="midden huur" u="1"/>
        <s v="sociaal" u="1"/>
      </sharedItems>
    </cacheField>
    <cacheField name="BVO" numFmtId="2">
      <sharedItems containsString="0" containsBlank="1" containsNumber="1" containsInteger="1" minValue="1000" maxValue="1000"/>
    </cacheField>
    <cacheField name="efficientie" numFmtId="2">
      <sharedItems containsString="0" containsBlank="1" containsNumber="1" containsInteger="1" minValue="80" maxValue="100"/>
    </cacheField>
    <cacheField name="GBO" numFmtId="0">
      <sharedItems containsString="0" containsBlank="1" containsNumber="1" containsInteger="1" minValue="800" maxValue="1000"/>
    </cacheField>
    <cacheField name="Gevel opp." numFmtId="0">
      <sharedItems containsString="0" containsBlank="1" containsNumber="1" containsInteger="1" minValue="3000" maxValue="3000"/>
    </cacheField>
    <cacheField name="woningen_aantal" numFmtId="2">
      <sharedItems containsString="0" containsBlank="1" containsNumber="1" containsInteger="1" minValue="0" maxValue="8"/>
    </cacheField>
    <cacheField name="factor" numFmtId="0">
      <sharedItems containsString="0" containsBlank="1" containsNumber="1" containsInteger="1" minValue="1" maxValue="1"/>
    </cacheField>
    <cacheField name="Gevel opp.2" numFmtId="0">
      <sharedItems containsString="0" containsBlank="1" containsNumber="1" containsInteger="1" minValue="3000" maxValue="3000"/>
    </cacheField>
    <cacheField name="leeg" numFmtId="0">
      <sharedItems containsNonDate="0" containsString="0" containsBlank="1"/>
    </cacheField>
    <cacheField name="leeg2" numFmtId="0">
      <sharedItems containsNonDate="0" containsString="0" containsBlank="1"/>
    </cacheField>
    <cacheField name="leeg3" numFmtId="0">
      <sharedItems containsNonDate="0" containsString="0" containsBlank="1"/>
    </cacheField>
    <cacheField name="leeg4" numFmtId="0">
      <sharedItems containsNonDate="0" containsString="0" containsBlank="1"/>
    </cacheField>
    <cacheField name="leeg5" numFmtId="0">
      <sharedItems containsNonDate="0" containsString="0" containsBlank="1"/>
    </cacheField>
    <cacheField name="leeg6" numFmtId="0">
      <sharedItems containsNonDate="0" containsString="0" containsBlank="1"/>
    </cacheField>
    <cacheField name="leeg7" numFmtId="0">
      <sharedItems containsNonDate="0" containsString="0" containsBlank="1"/>
    </cacheField>
    <cacheField name="leeg8" numFmtId="0">
      <sharedItems containsNonDate="0" containsString="0" containsBlank="1"/>
    </cacheField>
    <cacheField name="GBO_fictief" numFmtId="0">
      <sharedItems containsString="0" containsBlank="1" containsNumber="1" containsInteger="1" minValue="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hem Kolthof" refreshedDate="44965.700389120371" createdVersion="6" refreshedVersion="8" minRefreshableVersion="3" recordCount="57" xr:uid="{2AF111FD-C8EC-4A01-8A0D-15D9C948DC81}">
  <cacheSource type="worksheet">
    <worksheetSource name="Revit_input"/>
  </cacheSource>
  <cacheFields count="18">
    <cacheField name="typologie" numFmtId="0">
      <sharedItems containsBlank="1" count="15">
        <m/>
        <s v="parking"/>
        <s v="toren_laag"/>
        <s v="grondgebonden" u="1"/>
        <s v="penthouse" u="1"/>
        <s v="Grand total" u="1"/>
        <s v="vrijstaand" u="1"/>
        <s v="verkeersruimte" u="1"/>
        <s v="toren_hoog" u="1"/>
        <s v="office" u="1"/>
        <s v="retail" u="1"/>
        <s v="buitenruimte" u="1"/>
        <s v="overig" u="1"/>
        <s v="galerij" u="1"/>
        <s v="Grand total: 3" u="1"/>
      </sharedItems>
    </cacheField>
    <cacheField name="typologie_type" numFmtId="0">
      <sharedItems containsBlank="1" count="5">
        <m/>
        <s v="huur"/>
        <s v="koop"/>
        <s v="midden huur" u="1"/>
        <s v="sociaal" u="1"/>
      </sharedItems>
    </cacheField>
    <cacheField name="BVO" numFmtId="2">
      <sharedItems containsString="0" containsBlank="1" containsNumber="1" containsInteger="1" minValue="1000" maxValue="1000"/>
    </cacheField>
    <cacheField name="efficientie" numFmtId="2">
      <sharedItems containsString="0" containsBlank="1" containsNumber="1" containsInteger="1" minValue="80" maxValue="100"/>
    </cacheField>
    <cacheField name="GBO" numFmtId="0">
      <sharedItems containsString="0" containsBlank="1" containsNumber="1" containsInteger="1" minValue="800" maxValue="1000"/>
    </cacheField>
    <cacheField name="Gevel opp." numFmtId="0">
      <sharedItems containsString="0" containsBlank="1" containsNumber="1" containsInteger="1" minValue="3000" maxValue="3000"/>
    </cacheField>
    <cacheField name="woningen_aantal" numFmtId="2">
      <sharedItems containsString="0" containsBlank="1" containsNumber="1" containsInteger="1" minValue="0" maxValue="8"/>
    </cacheField>
    <cacheField name="factor" numFmtId="0">
      <sharedItems containsString="0" containsBlank="1" containsNumber="1" containsInteger="1" minValue="1" maxValue="1"/>
    </cacheField>
    <cacheField name="Gevel opp.2" numFmtId="0">
      <sharedItems containsString="0" containsBlank="1" containsNumber="1" containsInteger="1" minValue="3000" maxValue="3000"/>
    </cacheField>
    <cacheField name="leeg" numFmtId="0">
      <sharedItems containsNonDate="0" containsString="0" containsBlank="1"/>
    </cacheField>
    <cacheField name="leeg2" numFmtId="0">
      <sharedItems containsNonDate="0" containsString="0" containsBlank="1"/>
    </cacheField>
    <cacheField name="leeg3" numFmtId="0">
      <sharedItems containsNonDate="0" containsString="0" containsBlank="1"/>
    </cacheField>
    <cacheField name="leeg4" numFmtId="0">
      <sharedItems containsNonDate="0" containsString="0" containsBlank="1"/>
    </cacheField>
    <cacheField name="leeg5" numFmtId="0">
      <sharedItems containsNonDate="0" containsString="0" containsBlank="1"/>
    </cacheField>
    <cacheField name="leeg6" numFmtId="0">
      <sharedItems containsNonDate="0" containsString="0" containsBlank="1"/>
    </cacheField>
    <cacheField name="leeg7" numFmtId="0">
      <sharedItems containsNonDate="0" containsString="0" containsBlank="1"/>
    </cacheField>
    <cacheField name="leeg8" numFmtId="0">
      <sharedItems containsNonDate="0" containsString="0" containsBlank="1"/>
    </cacheField>
    <cacheField name="GBO_fictief" numFmtId="0">
      <sharedItems containsString="0" containsBlank="1" containsNumber="1" containsInteger="1" minValue="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hem Kolthof" refreshedDate="44965.70038923611" createdVersion="6" refreshedVersion="8" minRefreshableVersion="3" recordCount="57" xr:uid="{7CD11E38-7718-4007-8B49-902A28A72FC7}">
  <cacheSource type="worksheet">
    <worksheetSource name="revit_input"/>
  </cacheSource>
  <cacheFields count="18">
    <cacheField name="typologie" numFmtId="0">
      <sharedItems containsBlank="1"/>
    </cacheField>
    <cacheField name="typologie_type" numFmtId="0">
      <sharedItems containsBlank="1"/>
    </cacheField>
    <cacheField name="BVO" numFmtId="2">
      <sharedItems containsString="0" containsBlank="1" containsNumber="1" containsInteger="1" minValue="1000" maxValue="1000"/>
    </cacheField>
    <cacheField name="efficientie" numFmtId="2">
      <sharedItems containsString="0" containsBlank="1" containsNumber="1" containsInteger="1" minValue="80" maxValue="100"/>
    </cacheField>
    <cacheField name="GBO" numFmtId="0">
      <sharedItems containsString="0" containsBlank="1" containsNumber="1" containsInteger="1" minValue="800" maxValue="1000"/>
    </cacheField>
    <cacheField name="Gevel opp." numFmtId="0">
      <sharedItems containsString="0" containsBlank="1" containsNumber="1" containsInteger="1" minValue="3000" maxValue="3000"/>
    </cacheField>
    <cacheField name="woningen_aantal" numFmtId="2">
      <sharedItems containsString="0" containsBlank="1" containsNumber="1" containsInteger="1" minValue="0" maxValue="8"/>
    </cacheField>
    <cacheField name="factor" numFmtId="0">
      <sharedItems containsString="0" containsBlank="1" containsNumber="1" containsInteger="1" minValue="1" maxValue="1"/>
    </cacheField>
    <cacheField name="Gevel opp.2" numFmtId="0">
      <sharedItems containsString="0" containsBlank="1" containsNumber="1" containsInteger="1" minValue="3000" maxValue="3000"/>
    </cacheField>
    <cacheField name="leeg" numFmtId="0">
      <sharedItems containsNonDate="0" containsString="0" containsBlank="1"/>
    </cacheField>
    <cacheField name="leeg2" numFmtId="0">
      <sharedItems containsNonDate="0" containsString="0" containsBlank="1"/>
    </cacheField>
    <cacheField name="leeg3" numFmtId="0">
      <sharedItems containsNonDate="0" containsString="0" containsBlank="1"/>
    </cacheField>
    <cacheField name="leeg4" numFmtId="0">
      <sharedItems containsNonDate="0" containsString="0" containsBlank="1"/>
    </cacheField>
    <cacheField name="leeg5" numFmtId="0">
      <sharedItems containsNonDate="0" containsString="0" containsBlank="1"/>
    </cacheField>
    <cacheField name="leeg6" numFmtId="0">
      <sharedItems containsNonDate="0" containsString="0" containsBlank="1"/>
    </cacheField>
    <cacheField name="leeg7" numFmtId="0">
      <sharedItems containsNonDate="0" containsString="0" containsBlank="1"/>
    </cacheField>
    <cacheField name="leeg8" numFmtId="0">
      <sharedItems containsNonDate="0" containsString="0" containsBlank="1"/>
    </cacheField>
    <cacheField name="GBO_fictief" numFmtId="0">
      <sharedItems containsString="0" containsBlank="1" containsNumber="1" containsInteger="1" minValue="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hem Kolthof" refreshedDate="44965.70038923611" createdVersion="6" refreshedVersion="8" minRefreshableVersion="3" recordCount="57" xr:uid="{5CD04B3F-E33D-4DAB-824A-0C510EAF8CC7}">
  <cacheSource type="worksheet">
    <worksheetSource name="revit_input"/>
  </cacheSource>
  <cacheFields count="18">
    <cacheField name="typologie" numFmtId="0">
      <sharedItems containsBlank="1"/>
    </cacheField>
    <cacheField name="typologie_type" numFmtId="0">
      <sharedItems containsBlank="1" count="5">
        <m/>
        <s v="huur"/>
        <s v="koop"/>
        <s v="midden huur" u="1"/>
        <s v="sociaal" u="1"/>
      </sharedItems>
    </cacheField>
    <cacheField name="BVO" numFmtId="2">
      <sharedItems containsString="0" containsBlank="1" containsNumber="1" containsInteger="1" minValue="1000" maxValue="1000"/>
    </cacheField>
    <cacheField name="efficientie" numFmtId="2">
      <sharedItems containsString="0" containsBlank="1" containsNumber="1" containsInteger="1" minValue="80" maxValue="100"/>
    </cacheField>
    <cacheField name="GBO" numFmtId="0">
      <sharedItems containsString="0" containsBlank="1" containsNumber="1" containsInteger="1" minValue="800" maxValue="1000"/>
    </cacheField>
    <cacheField name="Gevel opp." numFmtId="0">
      <sharedItems containsString="0" containsBlank="1" containsNumber="1" containsInteger="1" minValue="3000" maxValue="3000"/>
    </cacheField>
    <cacheField name="woningen_aantal" numFmtId="2">
      <sharedItems containsString="0" containsBlank="1" containsNumber="1" containsInteger="1" minValue="0" maxValue="8"/>
    </cacheField>
    <cacheField name="factor" numFmtId="0">
      <sharedItems containsString="0" containsBlank="1" containsNumber="1" containsInteger="1" minValue="1" maxValue="1"/>
    </cacheField>
    <cacheField name="Gevel opp.2" numFmtId="0">
      <sharedItems containsString="0" containsBlank="1" containsNumber="1" containsInteger="1" minValue="3000" maxValue="3000"/>
    </cacheField>
    <cacheField name="leeg" numFmtId="0">
      <sharedItems containsNonDate="0" containsString="0" containsBlank="1"/>
    </cacheField>
    <cacheField name="leeg2" numFmtId="0">
      <sharedItems containsNonDate="0" containsString="0" containsBlank="1"/>
    </cacheField>
    <cacheField name="leeg3" numFmtId="0">
      <sharedItems containsNonDate="0" containsString="0" containsBlank="1"/>
    </cacheField>
    <cacheField name="leeg4" numFmtId="0">
      <sharedItems containsNonDate="0" containsString="0" containsBlank="1"/>
    </cacheField>
    <cacheField name="leeg5" numFmtId="0">
      <sharedItems containsNonDate="0" containsString="0" containsBlank="1"/>
    </cacheField>
    <cacheField name="leeg6" numFmtId="0">
      <sharedItems containsNonDate="0" containsString="0" containsBlank="1"/>
    </cacheField>
    <cacheField name="leeg7" numFmtId="0">
      <sharedItems containsNonDate="0" containsString="0" containsBlank="1"/>
    </cacheField>
    <cacheField name="leeg8" numFmtId="0">
      <sharedItems containsNonDate="0" containsString="0" containsBlank="1"/>
    </cacheField>
    <cacheField name="GBO_fictief" numFmtId="0">
      <sharedItems containsString="0" containsBlank="1" containsNumber="1" containsInteger="1" minValue="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huur"/>
    <x v="0"/>
    <s v="1376,20"/>
    <x v="0"/>
    <n v="1"/>
    <s v="4253,12"/>
  </r>
  <r>
    <x v="1"/>
    <s v="koop"/>
    <x v="1"/>
    <s v="585,78"/>
    <x v="1"/>
    <n v="6"/>
    <s v="1395,20"/>
  </r>
  <r>
    <x v="1"/>
    <s v="koop"/>
    <x v="2"/>
    <s v="769,12"/>
    <x v="1"/>
    <n v="12"/>
    <s v="1585,20"/>
  </r>
  <r>
    <x v="2"/>
    <s v="koop"/>
    <x v="3"/>
    <s v="614,57"/>
    <x v="2"/>
    <n v="6"/>
    <s v="1256,54"/>
  </r>
  <r>
    <x v="2"/>
    <s v="koop"/>
    <x v="4"/>
    <s v="673,71"/>
    <x v="3"/>
    <n v="6"/>
    <s v="1186,21"/>
  </r>
  <r>
    <x v="1"/>
    <s v="koop"/>
    <x v="5"/>
    <s v="175,97"/>
    <x v="1"/>
    <n v="2"/>
    <s v="682,60"/>
  </r>
  <r>
    <x v="1"/>
    <s v="koop"/>
    <x v="5"/>
    <s v="175,97"/>
    <x v="1"/>
    <n v="2"/>
    <s v="682,6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m/>
    <m/>
    <m/>
    <m/>
    <m/>
    <m/>
    <m/>
    <m/>
    <m/>
    <m/>
    <m/>
    <m/>
    <m/>
    <m/>
    <m/>
    <m/>
    <m/>
  </r>
  <r>
    <x v="1"/>
    <s v="huur"/>
    <n v="1000"/>
    <n v="100"/>
    <n v="1000"/>
    <n v="3000"/>
    <n v="0"/>
    <n v="1"/>
    <n v="3000"/>
    <m/>
    <m/>
    <m/>
    <m/>
    <m/>
    <m/>
    <m/>
    <m/>
    <n v="1000"/>
  </r>
  <r>
    <x v="2"/>
    <s v="koop"/>
    <n v="1000"/>
    <n v="80"/>
    <n v="800"/>
    <n v="3000"/>
    <n v="8"/>
    <n v="1"/>
    <n v="3000"/>
    <m/>
    <m/>
    <m/>
    <m/>
    <m/>
    <m/>
    <m/>
    <m/>
    <n v="80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n v="0"/>
  </r>
  <r>
    <x v="0"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x v="0"/>
    <m/>
    <m/>
    <m/>
    <m/>
    <m/>
    <m/>
    <m/>
    <m/>
    <m/>
    <m/>
    <m/>
    <m/>
    <m/>
    <m/>
    <m/>
    <m/>
  </r>
  <r>
    <x v="1"/>
    <x v="1"/>
    <n v="1000"/>
    <n v="100"/>
    <n v="1000"/>
    <n v="3000"/>
    <n v="0"/>
    <n v="1"/>
    <n v="3000"/>
    <m/>
    <m/>
    <m/>
    <m/>
    <m/>
    <m/>
    <m/>
    <m/>
    <n v="1000"/>
  </r>
  <r>
    <x v="2"/>
    <x v="2"/>
    <n v="1000"/>
    <n v="80"/>
    <n v="800"/>
    <n v="3000"/>
    <n v="8"/>
    <n v="1"/>
    <n v="3000"/>
    <m/>
    <m/>
    <m/>
    <m/>
    <m/>
    <m/>
    <m/>
    <m/>
    <n v="80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x v="0"/>
    <m/>
    <m/>
    <m/>
    <m/>
    <m/>
    <m/>
    <m/>
    <m/>
    <m/>
    <m/>
    <m/>
    <m/>
    <m/>
    <m/>
    <m/>
    <m/>
  </r>
  <r>
    <x v="1"/>
    <x v="1"/>
    <n v="1000"/>
    <n v="100"/>
    <n v="1000"/>
    <n v="3000"/>
    <n v="0"/>
    <n v="1"/>
    <n v="3000"/>
    <m/>
    <m/>
    <m/>
    <m/>
    <m/>
    <m/>
    <m/>
    <m/>
    <n v="1000"/>
  </r>
  <r>
    <x v="2"/>
    <x v="2"/>
    <n v="1000"/>
    <n v="80"/>
    <n v="800"/>
    <n v="3000"/>
    <n v="8"/>
    <n v="1"/>
    <n v="3000"/>
    <m/>
    <m/>
    <m/>
    <m/>
    <m/>
    <m/>
    <m/>
    <m/>
    <n v="80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n v="0"/>
  </r>
  <r>
    <x v="0"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m/>
    <m/>
    <m/>
    <m/>
    <m/>
    <m/>
    <m/>
    <m/>
    <m/>
    <m/>
    <m/>
    <m/>
    <m/>
    <m/>
    <m/>
    <m/>
    <m/>
    <m/>
  </r>
  <r>
    <s v="parking"/>
    <s v="huur"/>
    <n v="1000"/>
    <n v="100"/>
    <n v="1000"/>
    <n v="3000"/>
    <n v="0"/>
    <n v="1"/>
    <n v="3000"/>
    <m/>
    <m/>
    <m/>
    <m/>
    <m/>
    <m/>
    <m/>
    <m/>
    <n v="1000"/>
  </r>
  <r>
    <s v="toren_laag"/>
    <s v="koop"/>
    <n v="1000"/>
    <n v="80"/>
    <n v="800"/>
    <n v="3000"/>
    <n v="8"/>
    <n v="1"/>
    <n v="3000"/>
    <m/>
    <m/>
    <m/>
    <m/>
    <m/>
    <m/>
    <m/>
    <m/>
    <n v="80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n v="0"/>
  </r>
  <r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m/>
    <x v="0"/>
    <m/>
    <m/>
    <m/>
    <m/>
    <m/>
    <m/>
    <m/>
    <m/>
    <m/>
    <m/>
    <m/>
    <m/>
    <m/>
    <m/>
    <m/>
    <m/>
  </r>
  <r>
    <s v="parking"/>
    <x v="1"/>
    <n v="1000"/>
    <n v="100"/>
    <n v="1000"/>
    <n v="3000"/>
    <n v="0"/>
    <n v="1"/>
    <n v="3000"/>
    <m/>
    <m/>
    <m/>
    <m/>
    <m/>
    <m/>
    <m/>
    <m/>
    <n v="1000"/>
  </r>
  <r>
    <s v="toren_laag"/>
    <x v="2"/>
    <n v="1000"/>
    <n v="80"/>
    <n v="800"/>
    <n v="3000"/>
    <n v="8"/>
    <n v="1"/>
    <n v="3000"/>
    <m/>
    <m/>
    <m/>
    <m/>
    <m/>
    <m/>
    <m/>
    <m/>
    <n v="80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n v="0"/>
  </r>
  <r>
    <m/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23684-1CE7-4990-9B1D-E5A3ABA3E095}" name="Draaitabel5" cacheId="0" applyNumberFormats="0" applyBorderFormats="0" applyFontFormats="0" applyPatternFormats="0" applyAlignmentFormats="0" applyWidthHeightFormats="1" dataCaption="Waarden" updatedVersion="6" minRefreshableVersion="3" useAutoFormatting="1" itemPrintTitles="1" createdVersion="6" indent="0" outline="1" outlineData="1" multipleFieldFilters="0">
  <location ref="A1:D5" firstHeaderRow="0" firstDataRow="1" firstDataCol="1"/>
  <pivotFields count="7">
    <pivotField axis="axisRow" showAll="0">
      <items count="4">
        <item x="1"/>
        <item x="0"/>
        <item x="2"/>
        <item t="default"/>
      </items>
    </pivotField>
    <pivotField showAll="0"/>
    <pivotField dataField="1" showAll="0">
      <items count="7">
        <item x="2"/>
        <item x="0"/>
        <item x="5"/>
        <item x="3"/>
        <item x="1"/>
        <item x="4"/>
        <item t="default"/>
      </items>
    </pivotField>
    <pivotField showAll="0"/>
    <pivotField dataField="1" showAll="0">
      <items count="5">
        <item x="1"/>
        <item x="2"/>
        <item x="0"/>
        <item x="3"/>
        <item t="default"/>
      </items>
    </pivotField>
    <pivotField dataField="1"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 van bvo" fld="2" baseField="0" baseItem="0"/>
    <dataField name="Som van unit aantal" fld="5" baseField="0" baseItem="0"/>
    <dataField name="Gemiddelde van efficientie" fld="4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EC7BD7-DB0A-4BD9-B5E9-67A510A7C29D}" name="Draaitabel1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6" indent="0" outline="1" outlineData="1" multipleFieldFilters="0" chartFormat="2" colHeaderCaption="labels">
  <location ref="A20:D23" firstHeaderRow="1" firstDataRow="3" firstDataCol="0"/>
  <pivotFields count="18">
    <pivotField showAll="0"/>
    <pivotField axis="axisCol" showAll="0">
      <items count="6">
        <item h="1" x="1"/>
        <item x="2"/>
        <item h="1" m="1" x="3"/>
        <item h="1" m="1" x="4"/>
        <item h="1"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Fields count="2">
    <field x="1"/>
    <field x="-2"/>
  </colFields>
  <colItems count="4">
    <i>
      <x v="1"/>
      <x/>
    </i>
    <i r="1" i="1">
      <x v="1"/>
    </i>
    <i t="grand">
      <x/>
    </i>
    <i t="grand" i="1">
      <x/>
    </i>
  </colItems>
  <dataFields count="2">
    <dataField name="GBO_fictief (som)" fld="17" baseField="0" baseItem="0"/>
    <dataField name="GBO (som)" fld="4" baseField="0" baseItem="0"/>
  </dataFields>
  <formats count="11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1" type="button" dataOnly="0" labelOnly="1" outline="0" axis="axisCol" fieldPosition="0"/>
    </format>
    <format dxfId="12">
      <pivotArea field="-2" type="button" dataOnly="0" labelOnly="1" outline="0" axis="axisCol" fieldPosition="1"/>
    </format>
    <format dxfId="11">
      <pivotArea type="topRight" dataOnly="0" labelOnly="1" outline="0" fieldPosition="0"/>
    </format>
    <format dxfId="10">
      <pivotArea dataOnly="0" labelOnly="1" grandRow="1" outline="0" fieldPosition="0"/>
    </format>
    <format dxfId="9">
      <pivotArea dataOnly="0" labelOnly="1" fieldPosition="0">
        <references count="1">
          <reference field="1" count="0"/>
        </references>
      </pivotArea>
    </format>
    <format dxfId="8">
      <pivotArea field="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">
      <pivotArea field="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">
      <pivotArea dataOnly="0" labelOnly="1" outline="0" fieldPosition="0">
        <references count="2">
          <reference field="4294967294" count="2">
            <x v="0"/>
            <x v="1"/>
          </reference>
          <reference field="1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17B2C9-5C1E-4BDB-9CAF-46FFFAE85173}" name="Revit_input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6" indent="0" outline="1" outlineData="1" multipleFieldFilters="0" chartFormat="1" colHeaderCaption="labels">
  <location ref="A1:P6" firstHeaderRow="1" firstDataRow="3" firstDataCol="1"/>
  <pivotFields count="18">
    <pivotField axis="axisRow" showAll="0">
      <items count="16">
        <item m="1" x="11"/>
        <item m="1" x="13"/>
        <item m="1" x="3"/>
        <item m="1" x="12"/>
        <item m="1" x="4"/>
        <item m="1" x="10"/>
        <item m="1" x="8"/>
        <item x="2"/>
        <item m="1" x="7"/>
        <item m="1" x="6"/>
        <item x="0"/>
        <item m="1" x="5"/>
        <item m="1" x="9"/>
        <item m="1" x="14"/>
        <item x="1"/>
        <item t="default"/>
      </items>
    </pivotField>
    <pivotField axis="axisCol" showAll="0">
      <items count="6">
        <item x="1"/>
        <item x="2"/>
        <item m="1" x="3"/>
        <item m="1" x="4"/>
        <item h="1" x="0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 v="7"/>
    </i>
    <i>
      <x v="14"/>
    </i>
    <i t="grand">
      <x/>
    </i>
  </rowItems>
  <colFields count="2">
    <field x="-2"/>
    <field x="1"/>
  </colFields>
  <colItems count="15">
    <i>
      <x/>
      <x/>
    </i>
    <i r="1">
      <x v="1"/>
    </i>
    <i i="1">
      <x v="1"/>
      <x/>
    </i>
    <i r="1" i="1">
      <x v="1"/>
    </i>
    <i i="2">
      <x v="2"/>
      <x/>
    </i>
    <i r="1" i="2">
      <x v="1"/>
    </i>
    <i i="3">
      <x v="3"/>
      <x/>
    </i>
    <i r="1" i="3">
      <x v="1"/>
    </i>
    <i i="4">
      <x v="4"/>
      <x/>
    </i>
    <i r="1" i="4">
      <x v="1"/>
    </i>
    <i t="grand">
      <x/>
    </i>
    <i t="grand" i="1">
      <x/>
    </i>
    <i t="grand" i="2">
      <x/>
    </i>
    <i t="grand" i="3">
      <x/>
    </i>
    <i t="grand" i="4">
      <x/>
    </i>
  </colItems>
  <dataFields count="5">
    <dataField name="BVO (som)" fld="2" baseField="0" baseItem="0" numFmtId="2"/>
    <dataField name="eff. (gem)" fld="3" subtotal="average" baseField="0" baseItem="0" numFmtId="176"/>
    <dataField name="GBO (som)" fld="4" baseField="0" baseItem="0"/>
    <dataField name="won. (som)" fld="6" baseField="0" baseItem="0"/>
    <dataField name="Som van GBO_fictief" fld="17" baseField="0" baseItem="0"/>
  </dataFields>
  <formats count="20">
    <format dxfId="36">
      <pivotArea type="all" dataOnly="0" outline="0" fieldPosition="0"/>
    </format>
    <format dxfId="35">
      <pivotArea outline="0" collapsedLevelsAreSubtotals="1" fieldPosition="0"/>
    </format>
    <format dxfId="34">
      <pivotArea type="origin" dataOnly="0" labelOnly="1" outline="0" fieldPosition="0"/>
    </format>
    <format dxfId="33">
      <pivotArea field="-2" type="button" dataOnly="0" labelOnly="1" outline="0" axis="axisCol" fieldPosition="0"/>
    </format>
    <format dxfId="32">
      <pivotArea field="1" type="button" dataOnly="0" labelOnly="1" outline="0" axis="axisCol" fieldPosition="1"/>
    </format>
    <format dxfId="31">
      <pivotArea type="topRight" dataOnly="0" labelOnly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8">
      <pivotArea dataOnly="0" labelOnly="1" grandRow="1" outline="0" fieldPosition="0"/>
    </format>
    <format dxfId="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6">
      <pivotArea field="1" dataOnly="0" labelOnly="1" grandCol="1" outline="0" axis="axisCol" fieldPosition="1">
        <references count="1">
          <reference field="4294967294" count="1" selected="0">
            <x v="0"/>
          </reference>
        </references>
      </pivotArea>
    </format>
    <format dxfId="25">
      <pivotArea field="1" dataOnly="0" labelOnly="1" grandCol="1" outline="0" axis="axisCol" fieldPosition="1">
        <references count="1">
          <reference field="4294967294" count="1" selected="0">
            <x v="1"/>
          </reference>
        </references>
      </pivotArea>
    </format>
    <format dxfId="24">
      <pivotArea field="1" dataOnly="0" labelOnly="1" grandCol="1" outline="0" axis="axisCol" fieldPosition="1">
        <references count="1">
          <reference field="4294967294" count="1" selected="0">
            <x v="2"/>
          </reference>
        </references>
      </pivotArea>
    </format>
    <format dxfId="23">
      <pivotArea field="1" dataOnly="0" labelOnly="1" grandCol="1" outline="0" axis="axisCol" fieldPosition="1">
        <references count="1">
          <reference field="4294967294" count="1" selected="0">
            <x v="3"/>
          </reference>
        </references>
      </pivotArea>
    </format>
    <format dxfId="22">
      <pivotArea field="1" dataOnly="0" labelOnly="1" grandCol="1" outline="0" axis="axisCol" fieldPosition="1">
        <references count="1">
          <reference field="4294967294" count="1" selected="0">
            <x v="4"/>
          </reference>
        </references>
      </pivotArea>
    </format>
    <format dxfId="21">
      <pivotArea dataOnly="0" labelOnly="1" fieldPosition="0">
        <references count="2">
          <reference field="4294967294" count="1" selected="0">
            <x v="0"/>
          </reference>
          <reference field="1" count="0"/>
        </references>
      </pivotArea>
    </format>
    <format dxfId="20">
      <pivotArea dataOnly="0" labelOnly="1" fieldPosition="0">
        <references count="2">
          <reference field="4294967294" count="1" selected="0">
            <x v="1"/>
          </reference>
          <reference field="1" count="0"/>
        </references>
      </pivotArea>
    </format>
    <format dxfId="19">
      <pivotArea dataOnly="0" labelOnly="1" fieldPosition="0">
        <references count="2">
          <reference field="4294967294" count="1" selected="0">
            <x v="2"/>
          </reference>
          <reference field="1" count="0"/>
        </references>
      </pivotArea>
    </format>
    <format dxfId="18">
      <pivotArea dataOnly="0" labelOnly="1" fieldPosition="0">
        <references count="2">
          <reference field="4294967294" count="1" selected="0">
            <x v="3"/>
          </reference>
          <reference field="1" count="0"/>
        </references>
      </pivotArea>
    </format>
    <format dxfId="17">
      <pivotArea dataOnly="0" labelOnly="1" fieldPosition="0">
        <references count="2">
          <reference field="4294967294" count="1" selected="0">
            <x v="4"/>
          </reference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C8571-B4C6-4A66-B819-C52FF4B6CD72}" name="Draaitabel18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6" indent="0" outline="1" outlineData="1" multipleFieldFilters="0" chartFormat="3">
  <location ref="G20:G21" firstHeaderRow="1" firstDataRow="1" firstDataCol="0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GBO_fictief (som)" fld="17" baseField="0" baseItem="0"/>
  </dataFields>
  <formats count="4"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grandRow="1" outline="0" fieldPosition="0"/>
    </format>
    <format dxfId="37">
      <pivotArea dataOnly="0" labelOnly="1" outline="0" axis="axisValues" fieldPosition="0"/>
    </format>
  </format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E35C9D-EBB7-4687-B3D5-939257829771}" name="Draaitabel15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6" indent="0" outline="1" outlineData="1" multipleFieldFilters="0" chartFormat="3">
  <location ref="A40:B42" firstHeaderRow="1" firstDataRow="1" firstDataCol="1"/>
  <pivotFields count="18">
    <pivotField axis="axisRow" showAll="0">
      <items count="16">
        <item h="1" m="1" x="11"/>
        <item m="1" x="13"/>
        <item m="1" x="3"/>
        <item h="1" m="1" x="12"/>
        <item m="1" x="4"/>
        <item h="1" m="1" x="10"/>
        <item m="1" x="8"/>
        <item x="2"/>
        <item h="1" m="1" x="7"/>
        <item m="1" x="6"/>
        <item h="1" x="0"/>
        <item h="1" m="1" x="9"/>
        <item h="1" m="1" x="14"/>
        <item h="1" x="1"/>
        <item h="1" m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7"/>
    </i>
    <i t="grand">
      <x/>
    </i>
  </rowItems>
  <colItems count="1">
    <i/>
  </colItems>
  <dataFields count="1">
    <dataField name="GBO (som)" fld="4" baseField="0" baseItem="0"/>
  </dataFields>
  <formats count="6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dataOnly="0" labelOnly="1" outline="0" axis="axisValues" fieldPosition="0"/>
    </format>
  </formats>
  <chartFormats count="11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997921-82F6-47F2-985C-F4A8C98F4E60}" name="Draaitabel13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6" indent="0" outline="1" outlineData="1" multipleFieldFilters="0" chartFormat="1" colHeaderCaption="labels">
  <location ref="A30:C36" firstHeaderRow="1" firstDataRow="2" firstDataCol="1"/>
  <pivotFields count="18">
    <pivotField axis="axisCol" showAll="0">
      <items count="16">
        <item h="1" m="1" x="11"/>
        <item m="1" x="13"/>
        <item m="1" x="3"/>
        <item h="1" m="1" x="12"/>
        <item m="1" x="4"/>
        <item h="1" m="1" x="10"/>
        <item m="1" x="8"/>
        <item x="2"/>
        <item h="1" m="1" x="7"/>
        <item m="1" x="6"/>
        <item h="1" x="0"/>
        <item h="1" m="1" x="9"/>
        <item h="1" m="1" x="14"/>
        <item h="1" x="1"/>
        <item h="1" m="1" x="5"/>
        <item t="default"/>
      </items>
    </pivotField>
    <pivotField axis="axisRow">
      <items count="6">
        <item x="1"/>
        <item x="2"/>
        <item m="1" x="3"/>
        <item m="1" x="4"/>
        <item h="1"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2">
    <i>
      <x v="7"/>
    </i>
    <i t="grand">
      <x/>
    </i>
  </colItems>
  <dataFields count="1">
    <dataField name="GBO (som)" fld="4" baseField="0" baseItem="0"/>
  </dataFields>
  <formats count="10"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0" type="button" dataOnly="0" labelOnly="1" outline="0" axis="axisCol" fieldPosition="0"/>
    </format>
    <format dxfId="52">
      <pivotArea type="topRight" dataOnly="0" labelOnly="1" outline="0" fieldPosition="0"/>
    </format>
    <format dxfId="51">
      <pivotArea field="1" type="button" dataOnly="0" labelOnly="1" outline="0" axis="axisRow" fieldPosition="0"/>
    </format>
    <format dxfId="50">
      <pivotArea dataOnly="0" labelOnly="1" fieldPosition="0">
        <references count="1">
          <reference field="1" count="0"/>
        </references>
      </pivotArea>
    </format>
    <format dxfId="49">
      <pivotArea dataOnly="0" labelOnly="1" grandRow="1" outline="0" fieldPosition="0"/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hema">
  <a:themeElements>
    <a:clrScheme name="ML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366092"/>
      </a:accent1>
      <a:accent2>
        <a:srgbClr val="548DD4"/>
      </a:accent2>
      <a:accent3>
        <a:srgbClr val="8DB3E2"/>
      </a:accent3>
      <a:accent4>
        <a:srgbClr val="C6D9F0"/>
      </a:accent4>
      <a:accent5>
        <a:srgbClr val="FFFFFF"/>
      </a:accent5>
      <a:accent6>
        <a:srgbClr val="FFFFFF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B2:W172"/>
  <sheetViews>
    <sheetView zoomScale="85" zoomScaleNormal="85" zoomScaleSheetLayoutView="85" workbookViewId="0">
      <selection activeCell="Y40" sqref="Y40"/>
    </sheetView>
  </sheetViews>
  <sheetFormatPr defaultRowHeight="12.75" x14ac:dyDescent="0.2"/>
  <cols>
    <col min="1" max="1" width="2.7109375" style="1" customWidth="1"/>
    <col min="2" max="2" width="7.42578125" style="1" customWidth="1"/>
    <col min="3" max="3" width="18.85546875" style="1" customWidth="1"/>
    <col min="4" max="4" width="26.42578125" style="1" bestFit="1" customWidth="1"/>
    <col min="5" max="5" width="15.140625" style="1" bestFit="1" customWidth="1"/>
    <col min="6" max="6" width="8.85546875" style="1" bestFit="1" customWidth="1"/>
    <col min="7" max="7" width="8" style="1" bestFit="1" customWidth="1"/>
    <col min="8" max="8" width="11.5703125" style="1" bestFit="1" customWidth="1"/>
    <col min="9" max="9" width="12.42578125" style="1" bestFit="1" customWidth="1"/>
    <col min="10" max="10" width="10.7109375" style="1" bestFit="1" customWidth="1"/>
    <col min="11" max="11" width="7.5703125" style="1" bestFit="1" customWidth="1"/>
    <col min="12" max="12" width="15.5703125" style="1" bestFit="1" customWidth="1"/>
    <col min="13" max="13" width="9" style="1" bestFit="1" customWidth="1"/>
    <col min="14" max="14" width="7.5703125" style="1" bestFit="1" customWidth="1"/>
    <col min="15" max="15" width="6.5703125" style="1" bestFit="1" customWidth="1"/>
    <col min="16" max="16" width="6.7109375" style="1" bestFit="1" customWidth="1"/>
    <col min="17" max="17" width="6" style="1" bestFit="1" customWidth="1"/>
    <col min="18" max="18" width="7.140625" style="1" bestFit="1" customWidth="1"/>
    <col min="19" max="19" width="13.7109375" style="1" bestFit="1" customWidth="1"/>
    <col min="20" max="20" width="11.28515625" style="1" bestFit="1" customWidth="1"/>
    <col min="21" max="21" width="7.42578125" style="1" bestFit="1" customWidth="1"/>
    <col min="22" max="22" width="7.5703125" style="2" bestFit="1" customWidth="1"/>
    <col min="23" max="23" width="8.85546875" style="374" customWidth="1"/>
    <col min="24" max="25" width="8.85546875" style="1" customWidth="1"/>
    <col min="26" max="16384" width="9.140625" style="1"/>
  </cols>
  <sheetData>
    <row r="2" spans="2:23" ht="18" x14ac:dyDescent="0.2">
      <c r="B2" s="353" t="s">
        <v>195</v>
      </c>
      <c r="C2" s="150"/>
      <c r="D2" s="151"/>
      <c r="E2" s="151"/>
      <c r="F2" s="151"/>
      <c r="G2" s="151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372"/>
    </row>
    <row r="3" spans="2:23" ht="15.75" x14ac:dyDescent="0.2">
      <c r="B3" s="354" t="s">
        <v>270</v>
      </c>
      <c r="C3" s="151"/>
      <c r="D3" s="151"/>
      <c r="E3" s="151"/>
      <c r="F3" s="152"/>
      <c r="G3" s="152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372"/>
    </row>
    <row r="4" spans="2:23" ht="18" x14ac:dyDescent="0.2">
      <c r="B4" s="153"/>
      <c r="C4" s="154"/>
      <c r="D4" s="151"/>
      <c r="E4" s="151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5"/>
      <c r="U4" s="155"/>
      <c r="V4" s="155"/>
      <c r="W4" s="372"/>
    </row>
    <row r="5" spans="2:23" ht="6.75" customHeight="1" thickBot="1" x14ac:dyDescent="0.25">
      <c r="B5" s="3"/>
      <c r="C5" s="3"/>
      <c r="U5" s="352"/>
      <c r="V5" s="1"/>
      <c r="W5" s="372"/>
    </row>
    <row r="6" spans="2:23" ht="16.5" customHeight="1" x14ac:dyDescent="0.2">
      <c r="B6" s="136"/>
      <c r="C6" s="261"/>
      <c r="D6" s="261"/>
      <c r="E6" s="357"/>
      <c r="F6" s="145"/>
      <c r="G6" s="146"/>
      <c r="H6" s="516"/>
      <c r="I6" s="517"/>
      <c r="J6" s="517"/>
      <c r="K6" s="517"/>
      <c r="L6" s="517"/>
      <c r="M6" s="517"/>
      <c r="N6" s="517"/>
      <c r="O6" s="517"/>
      <c r="P6" s="517"/>
      <c r="Q6" s="517"/>
      <c r="R6" s="517"/>
      <c r="S6" s="517"/>
      <c r="T6" s="517"/>
      <c r="U6" s="517"/>
      <c r="V6" s="518"/>
      <c r="W6" s="372"/>
    </row>
    <row r="7" spans="2:23" ht="16.5" customHeight="1" x14ac:dyDescent="0.2">
      <c r="B7" s="137" t="s">
        <v>124</v>
      </c>
      <c r="C7" s="262"/>
      <c r="D7" s="355" t="str">
        <f>B3</f>
        <v>NL</v>
      </c>
      <c r="E7" s="358"/>
      <c r="F7" s="135"/>
      <c r="G7" s="147"/>
      <c r="H7" s="519"/>
      <c r="I7" s="520"/>
      <c r="J7" s="520"/>
      <c r="K7" s="520"/>
      <c r="L7" s="520"/>
      <c r="M7" s="520"/>
      <c r="N7" s="520"/>
      <c r="O7" s="520"/>
      <c r="P7" s="520"/>
      <c r="Q7" s="520"/>
      <c r="R7" s="520"/>
      <c r="S7" s="520"/>
      <c r="T7" s="520"/>
      <c r="U7" s="520"/>
      <c r="V7" s="521"/>
      <c r="W7" s="372"/>
    </row>
    <row r="8" spans="2:23" ht="16.5" customHeight="1" x14ac:dyDescent="0.2">
      <c r="B8" s="137" t="s">
        <v>125</v>
      </c>
      <c r="C8" s="262"/>
      <c r="D8" s="355" t="s">
        <v>270</v>
      </c>
      <c r="E8" s="358"/>
      <c r="F8" s="135"/>
      <c r="G8" s="147"/>
      <c r="H8" s="519"/>
      <c r="I8" s="520"/>
      <c r="J8" s="520"/>
      <c r="K8" s="262"/>
      <c r="L8" s="262"/>
      <c r="M8" s="262"/>
      <c r="N8" s="262"/>
      <c r="O8" s="262"/>
      <c r="P8" s="262"/>
      <c r="Q8" s="262"/>
      <c r="R8" s="262"/>
      <c r="S8" s="262"/>
      <c r="T8" s="262"/>
      <c r="U8" s="520"/>
      <c r="V8" s="521"/>
      <c r="W8" s="372"/>
    </row>
    <row r="9" spans="2:23" ht="16.5" customHeight="1" x14ac:dyDescent="0.2">
      <c r="B9" s="137" t="s">
        <v>35</v>
      </c>
      <c r="C9" s="262"/>
      <c r="D9" s="356">
        <f ca="1">NOW()</f>
        <v>45555.619055092589</v>
      </c>
      <c r="E9" s="358"/>
      <c r="F9" s="135"/>
      <c r="G9" s="147"/>
      <c r="H9" s="519"/>
      <c r="I9" s="520"/>
      <c r="J9" s="520"/>
      <c r="K9" s="520"/>
      <c r="L9" s="520"/>
      <c r="M9" s="520"/>
      <c r="N9" s="520"/>
      <c r="O9" s="520"/>
      <c r="P9" s="520"/>
      <c r="Q9" s="520"/>
      <c r="R9" s="520"/>
      <c r="S9" s="520"/>
      <c r="T9" s="520"/>
      <c r="U9" s="520"/>
      <c r="V9" s="521"/>
      <c r="W9" s="372"/>
    </row>
    <row r="10" spans="2:23" ht="16.5" customHeight="1" thickBot="1" x14ac:dyDescent="0.25">
      <c r="B10" s="138" t="s">
        <v>228</v>
      </c>
      <c r="C10" s="392"/>
      <c r="D10" s="485">
        <f>SUM((G75+G84)/G88)</f>
        <v>1.0009999999999999</v>
      </c>
      <c r="E10" s="359"/>
      <c r="F10" s="148"/>
      <c r="G10" s="149"/>
      <c r="H10" s="522"/>
      <c r="I10" s="523"/>
      <c r="J10" s="523"/>
      <c r="K10" s="523"/>
      <c r="L10" s="523"/>
      <c r="M10" s="523"/>
      <c r="N10" s="523"/>
      <c r="O10" s="523"/>
      <c r="P10" s="523"/>
      <c r="Q10" s="523"/>
      <c r="R10" s="523"/>
      <c r="S10" s="523"/>
      <c r="T10" s="523"/>
      <c r="U10" s="523"/>
      <c r="V10" s="524"/>
      <c r="W10" s="372"/>
    </row>
    <row r="11" spans="2:23" ht="6.75" customHeight="1" thickBot="1" x14ac:dyDescent="0.25">
      <c r="V11" s="1"/>
      <c r="W11" s="372"/>
    </row>
    <row r="12" spans="2:23" s="334" customFormat="1" ht="15.75" x14ac:dyDescent="0.2">
      <c r="B12" s="445" t="s">
        <v>0</v>
      </c>
      <c r="C12" s="405"/>
      <c r="D12" s="333"/>
      <c r="E12" s="446" t="s">
        <v>263</v>
      </c>
      <c r="F12" s="393"/>
      <c r="G12" s="393"/>
      <c r="H12" s="393"/>
      <c r="I12" s="393"/>
      <c r="J12" s="394"/>
      <c r="K12" s="395" t="s">
        <v>196</v>
      </c>
      <c r="L12" s="396" t="s">
        <v>95</v>
      </c>
      <c r="M12" s="397"/>
      <c r="N12" s="398" t="s">
        <v>196</v>
      </c>
      <c r="O12" s="399" t="s">
        <v>137</v>
      </c>
      <c r="P12" s="400"/>
      <c r="Q12" s="400"/>
      <c r="R12" s="400"/>
      <c r="S12" s="401"/>
      <c r="T12" s="402"/>
      <c r="U12" s="403" t="s">
        <v>196</v>
      </c>
      <c r="V12" s="404" t="s">
        <v>196</v>
      </c>
      <c r="W12" s="406"/>
    </row>
    <row r="13" spans="2:23" s="532" customFormat="1" ht="15" customHeight="1" x14ac:dyDescent="0.2">
      <c r="B13" s="533" t="s">
        <v>249</v>
      </c>
      <c r="C13" s="534"/>
      <c r="D13" s="535"/>
      <c r="E13" s="536" t="s">
        <v>96</v>
      </c>
      <c r="F13" s="537" t="s">
        <v>114</v>
      </c>
      <c r="G13" s="538" t="s">
        <v>136</v>
      </c>
      <c r="H13" s="538" t="s">
        <v>170</v>
      </c>
      <c r="I13" s="538" t="s">
        <v>127</v>
      </c>
      <c r="J13" s="539" t="s">
        <v>126</v>
      </c>
      <c r="K13" s="540"/>
      <c r="L13" s="541" t="s">
        <v>95</v>
      </c>
      <c r="M13" s="541" t="s">
        <v>163</v>
      </c>
      <c r="N13" s="542"/>
      <c r="O13" s="543" t="s">
        <v>137</v>
      </c>
      <c r="P13" s="543" t="s">
        <v>154</v>
      </c>
      <c r="Q13" s="544" t="s">
        <v>133</v>
      </c>
      <c r="R13" s="544" t="s">
        <v>229</v>
      </c>
      <c r="S13" s="545" t="s">
        <v>162</v>
      </c>
      <c r="T13" s="531" t="s">
        <v>161</v>
      </c>
      <c r="U13" s="531"/>
      <c r="V13" s="546" t="s">
        <v>245</v>
      </c>
      <c r="W13" s="547"/>
    </row>
    <row r="14" spans="2:23" ht="14.25" customHeight="1" x14ac:dyDescent="0.2">
      <c r="B14" s="447" t="s">
        <v>100</v>
      </c>
      <c r="C14" s="407"/>
      <c r="D14" s="414"/>
      <c r="E14" s="422"/>
      <c r="F14" s="422"/>
      <c r="G14" s="422"/>
      <c r="H14" s="422"/>
      <c r="I14" s="422"/>
      <c r="J14" s="422"/>
      <c r="K14" s="423"/>
      <c r="L14" s="422"/>
      <c r="M14" s="422"/>
      <c r="N14" s="423"/>
      <c r="O14" s="422"/>
      <c r="P14" s="422"/>
      <c r="Q14" s="422"/>
      <c r="R14" s="422"/>
      <c r="S14" s="422"/>
      <c r="T14" s="422"/>
      <c r="U14" s="423"/>
      <c r="V14" s="448"/>
      <c r="W14" s="372"/>
    </row>
    <row r="15" spans="2:23" ht="14.25" customHeight="1" x14ac:dyDescent="0.2">
      <c r="B15" s="449" t="s">
        <v>158</v>
      </c>
      <c r="C15" s="408"/>
      <c r="D15" s="415"/>
      <c r="E15" s="424">
        <f>IFERROR(GETPIVOTDATA("BVO", revit_input_draaitabel!$A$1, "typologie", E$13, "typologie_type", $B$14),0)</f>
        <v>0</v>
      </c>
      <c r="F15" s="424">
        <f>IFERROR(GETPIVOTDATA("BVO", revit_input_draaitabel!$A$1, "typologie", F$13, "typologie_type", $B$14),0)</f>
        <v>0</v>
      </c>
      <c r="G15" s="424">
        <f>IFERROR(GETPIVOTDATA("BVO", revit_input_draaitabel!$A$1, "typologie", G$13, "typologie_type", $B$14),0)</f>
        <v>0</v>
      </c>
      <c r="H15" s="424">
        <f>IFERROR(GETPIVOTDATA("BVO", revit_input_draaitabel!$A$1, "typologie", H$13, "typologie_type", $B$14),0)</f>
        <v>0</v>
      </c>
      <c r="I15" s="424">
        <f>IFERROR(GETPIVOTDATA("BVO", revit_input_draaitabel!$A$1, "typologie", I$13, "typologie_type", $B$14),0)</f>
        <v>0</v>
      </c>
      <c r="J15" s="424">
        <f>IFERROR(GETPIVOTDATA("BVO", revit_input_draaitabel!$A$1, "typologie", J$13, "typologie_type", $B$14),0)</f>
        <v>1000</v>
      </c>
      <c r="K15" s="425">
        <f>SUM(E15:J15)</f>
        <v>1000</v>
      </c>
      <c r="L15" s="424">
        <f>IFERROR(GETPIVOTDATA("BVO", revit_input_draaitabel!$A$1, "typologie", L$13, "typologie_type", $B$14),0)</f>
        <v>0</v>
      </c>
      <c r="M15" s="424">
        <f>IFERROR(GETPIVOTDATA("BVO", revit_input_draaitabel!$A$1, "typologie", M$13, "typologie_type", $B$14),0)</f>
        <v>0</v>
      </c>
      <c r="N15" s="425">
        <f>SUM(L15:M15)</f>
        <v>0</v>
      </c>
      <c r="O15" s="424">
        <f>IFERROR(GETPIVOTDATA("BVO", revit_input_draaitabel!$A$1, "typologie", O$13, "typologie_type", $B$14),0)</f>
        <v>0</v>
      </c>
      <c r="P15" s="424">
        <f>IFERROR(GETPIVOTDATA("BVO", revit_input_draaitabel!$A$1, "typologie", P$13, "typologie_type", $B$14),0)</f>
        <v>0</v>
      </c>
      <c r="Q15" s="424">
        <f>IFERROR(GETPIVOTDATA("BVO", revit_input_draaitabel!$A$1, "typologie", Q$13, "typologie_type", $B$14),0)</f>
        <v>0</v>
      </c>
      <c r="R15" s="424">
        <f>IFERROR(GETPIVOTDATA("BVO", revit_input_draaitabel!$A$1, "typologie", R$13, "typologie_type", $B$14),0)</f>
        <v>0</v>
      </c>
      <c r="S15" s="424">
        <f>IFERROR(GETPIVOTDATA("BVO", revit_input_draaitabel!$A$1, "typologie", S$13, "typologie_type", $B$14),0)</f>
        <v>0</v>
      </c>
      <c r="T15" s="424">
        <f>IFERROR(GETPIVOTDATA("BVO", revit_input_draaitabel!$A$1, "typologie", T$13, "typologie_type", $B$14),0)</f>
        <v>0</v>
      </c>
      <c r="U15" s="425">
        <f>SUM(O15:T15)</f>
        <v>0</v>
      </c>
      <c r="V15" s="450">
        <f>K15+N15+U15</f>
        <v>1000</v>
      </c>
      <c r="W15" s="373"/>
    </row>
    <row r="16" spans="2:23" ht="14.25" customHeight="1" x14ac:dyDescent="0.2">
      <c r="B16" s="449" t="s">
        <v>159</v>
      </c>
      <c r="C16" s="408"/>
      <c r="D16" s="415"/>
      <c r="E16" s="424">
        <f>IFERROR(GETPIVOTDATA("GBO", revit_input_draaitabel!$A$1, "typologie", E$13, "typologie_type", $B$14),0)</f>
        <v>0</v>
      </c>
      <c r="F16" s="424">
        <f>IFERROR(GETPIVOTDATA("GBO", revit_input_draaitabel!$A$1, "typologie", F$13, "typologie_type", $B$14),0)</f>
        <v>0</v>
      </c>
      <c r="G16" s="424">
        <f>IFERROR(GETPIVOTDATA("GBO", revit_input_draaitabel!$A$1, "typologie", G$13, "typologie_type", $B$14),0)</f>
        <v>0</v>
      </c>
      <c r="H16" s="424">
        <f>IFERROR(GETPIVOTDATA("GBO", revit_input_draaitabel!$A$1, "typologie", H$13, "typologie_type", $B$14),0)</f>
        <v>0</v>
      </c>
      <c r="I16" s="424">
        <f>IFERROR(GETPIVOTDATA("GBO", revit_input_draaitabel!$A$1, "typologie", I$13, "typologie_type", $B$14),0)</f>
        <v>0</v>
      </c>
      <c r="J16" s="424">
        <f>IFERROR(GETPIVOTDATA("GBO", revit_input_draaitabel!$A$1, "typologie", J$13, "typologie_type", $B$14),0)</f>
        <v>800</v>
      </c>
      <c r="K16" s="425">
        <f t="shared" ref="K16" si="0">SUM(E16:J16)</f>
        <v>800</v>
      </c>
      <c r="L16" s="424">
        <f>IFERROR(GETPIVOTDATA("GBO", revit_input_draaitabel!$A$1, "typologie", L$13, "typologie_type", $B$14),0)</f>
        <v>0</v>
      </c>
      <c r="M16" s="424">
        <f>IFERROR(GETPIVOTDATA("GBO", revit_input_draaitabel!$A$1, "typologie", M$13, "typologie_type", $B$14),0)</f>
        <v>0</v>
      </c>
      <c r="N16" s="425">
        <f t="shared" ref="N16" si="1">SUM(L16:M16)</f>
        <v>0</v>
      </c>
      <c r="O16" s="424">
        <f>IFERROR(GETPIVOTDATA("GBO", revit_input_draaitabel!$A$1, "typologie", O$13, "typologie_type", $B$14),0)</f>
        <v>0</v>
      </c>
      <c r="P16" s="424">
        <f>IFERROR(GETPIVOTDATA("GBO", revit_input_draaitabel!$A$1, "typologie", P$13, "typologie_type", $B$14),0)</f>
        <v>0</v>
      </c>
      <c r="Q16" s="424">
        <f>IFERROR(GETPIVOTDATA("GBO", revit_input_draaitabel!$A$1, "typologie", Q$13, "typologie_type", $B$14),0)</f>
        <v>0</v>
      </c>
      <c r="R16" s="424">
        <f>IFERROR(GETPIVOTDATA("GBO", revit_input_draaitabel!$A$1, "typologie", R$13, "typologie_type", $B$14),0)</f>
        <v>0</v>
      </c>
      <c r="S16" s="424">
        <f>IFERROR(GETPIVOTDATA("GBO", revit_input_draaitabel!$A$1, "typologie", S$13, "typologie_type", $B$14),0)</f>
        <v>0</v>
      </c>
      <c r="T16" s="424">
        <f>IFERROR(GETPIVOTDATA("GBO", revit_input_draaitabel!$A$1, "typologie", T$13, "typologie_type", $B$14),0)</f>
        <v>0</v>
      </c>
      <c r="U16" s="425">
        <f t="shared" ref="U16" si="2">SUM(O16:T16)</f>
        <v>0</v>
      </c>
      <c r="V16" s="450">
        <f t="shared" ref="V16" si="3">K16+N16+U16</f>
        <v>800</v>
      </c>
      <c r="W16" s="373"/>
    </row>
    <row r="17" spans="2:23" ht="14.25" customHeight="1" x14ac:dyDescent="0.2">
      <c r="B17" s="449" t="s">
        <v>44</v>
      </c>
      <c r="C17" s="409"/>
      <c r="D17" s="416"/>
      <c r="E17" s="426">
        <f>E16/IF(E15=0,1,E15)</f>
        <v>0</v>
      </c>
      <c r="F17" s="427">
        <f t="shared" ref="F17" si="4">F16/IF(F15=0,1,F15)</f>
        <v>0</v>
      </c>
      <c r="G17" s="427">
        <f>G16/IF(G15=0,1,G15)</f>
        <v>0</v>
      </c>
      <c r="H17" s="427">
        <f t="shared" ref="H17:J17" si="5">H16/IF(H15=0,1,H15)</f>
        <v>0</v>
      </c>
      <c r="I17" s="427">
        <f t="shared" si="5"/>
        <v>0</v>
      </c>
      <c r="J17" s="427">
        <f t="shared" si="5"/>
        <v>0.8</v>
      </c>
      <c r="K17" s="428"/>
      <c r="L17" s="427">
        <f t="shared" ref="L17:M17" si="6">L16/IF(L15=0,1,L15)</f>
        <v>0</v>
      </c>
      <c r="M17" s="427">
        <f t="shared" si="6"/>
        <v>0</v>
      </c>
      <c r="N17" s="428"/>
      <c r="O17" s="427">
        <f t="shared" ref="O17:T17" si="7">O16/IF(O15=0,1,O15)</f>
        <v>0</v>
      </c>
      <c r="P17" s="427">
        <f t="shared" si="7"/>
        <v>0</v>
      </c>
      <c r="Q17" s="427">
        <f t="shared" si="7"/>
        <v>0</v>
      </c>
      <c r="R17" s="427">
        <f t="shared" si="7"/>
        <v>0</v>
      </c>
      <c r="S17" s="427">
        <f t="shared" si="7"/>
        <v>0</v>
      </c>
      <c r="T17" s="427">
        <f t="shared" si="7"/>
        <v>0</v>
      </c>
      <c r="U17" s="428"/>
      <c r="V17" s="451"/>
      <c r="W17" s="373"/>
    </row>
    <row r="18" spans="2:23" ht="14.25" customHeight="1" x14ac:dyDescent="0.2">
      <c r="B18" s="452"/>
      <c r="C18" s="410"/>
      <c r="D18" s="421" t="s">
        <v>110</v>
      </c>
      <c r="E18" s="429">
        <f>IFERROR(GETPIVOTDATA("woningen_aantal", revit_input_draaitabel!$A$1, "typologie", E$13, "typologie_type", $B$14),0)</f>
        <v>0</v>
      </c>
      <c r="F18" s="429">
        <f>IFERROR(GETPIVOTDATA("woningen_aantal", revit_input_draaitabel!$A$1, "typologie", F$13, "typologie_type", $B$14),0)</f>
        <v>0</v>
      </c>
      <c r="G18" s="429">
        <f>IFERROR(GETPIVOTDATA("woningen_aantal", revit_input_draaitabel!$A$1, "typologie", G$13, "typologie_type", $B$14),0)</f>
        <v>0</v>
      </c>
      <c r="H18" s="429">
        <f>IFERROR(GETPIVOTDATA("woningen_aantal", revit_input_draaitabel!$A$1, "typologie", H$13, "typologie_type", $B$14),0)</f>
        <v>0</v>
      </c>
      <c r="I18" s="429">
        <f>IFERROR(GETPIVOTDATA("woningen_aantal", revit_input_draaitabel!$A$1, "typologie", I$13, "typologie_type", $B$14),0)</f>
        <v>0</v>
      </c>
      <c r="J18" s="429">
        <f>IFERROR(GETPIVOTDATA("woningen_aantal", revit_input_draaitabel!$A$1, "typologie", J$13, "typologie_type", $B$14),0)</f>
        <v>8</v>
      </c>
      <c r="K18" s="430">
        <f t="shared" ref="K18" si="8">SUM(E18:J18)</f>
        <v>8</v>
      </c>
      <c r="L18" s="429">
        <f>IFERROR(GETPIVOTDATA("woningen_aantal", revit_input_draaitabel!$A$1, "typologie", L$13, "typologie_type", $B$14),0)</f>
        <v>0</v>
      </c>
      <c r="M18" s="429">
        <f>IFERROR(GETPIVOTDATA("woningen_aantal", revit_input_draaitabel!$A$1, "typologie", M$13, "typologie_type", $B$14),0)</f>
        <v>0</v>
      </c>
      <c r="N18" s="430">
        <f t="shared" ref="N18" si="9">SUM(L18:M18)</f>
        <v>0</v>
      </c>
      <c r="O18" s="429">
        <f>IFERROR(GETPIVOTDATA("woningen_aantal", revit_input_draaitabel!$A$1, "typologie", O$13, "typologie_type", $B$14),0)</f>
        <v>0</v>
      </c>
      <c r="P18" s="429">
        <f>IFERROR(GETPIVOTDATA("woningen_aantal", revit_input_draaitabel!$A$1, "typologie", P$13, "typologie_type", $B$14),0)</f>
        <v>0</v>
      </c>
      <c r="Q18" s="429">
        <f>IFERROR(GETPIVOTDATA("woningen_aantal", revit_input_draaitabel!$A$1, "typologie", Q$13, "typologie_type", $B$14),0)</f>
        <v>0</v>
      </c>
      <c r="R18" s="429">
        <f>IFERROR(GETPIVOTDATA("woningen_aantal", revit_input_draaitabel!$A$1, "typologie", R$13, "typologie_type", $B$14),0)</f>
        <v>0</v>
      </c>
      <c r="S18" s="429">
        <f>IFERROR(GETPIVOTDATA("woningen_aantal", revit_input_draaitabel!$A$1, "typologie", S$13, "typologie_type", $B$14),0)</f>
        <v>0</v>
      </c>
      <c r="T18" s="429">
        <f>IFERROR(GETPIVOTDATA("woningen_aantal", revit_input_draaitabel!$A$1, "typologie", T$13, "typologie_type", $B$14),0)</f>
        <v>0</v>
      </c>
      <c r="U18" s="430">
        <f>SUM(O18:T18)</f>
        <v>0</v>
      </c>
      <c r="V18" s="453">
        <f t="shared" ref="V18:V21" si="10">K18+N18+U18</f>
        <v>8</v>
      </c>
      <c r="W18" s="373"/>
    </row>
    <row r="19" spans="2:23" ht="14.25" customHeight="1" x14ac:dyDescent="0.2">
      <c r="B19" s="454" t="s">
        <v>99</v>
      </c>
      <c r="C19" s="411"/>
      <c r="D19" s="417"/>
      <c r="E19" s="9"/>
      <c r="F19" s="9"/>
      <c r="G19" s="9"/>
      <c r="H19" s="9"/>
      <c r="I19" s="9"/>
      <c r="J19" s="9"/>
      <c r="K19" s="425"/>
      <c r="L19" s="9"/>
      <c r="M19" s="9"/>
      <c r="N19" s="425"/>
      <c r="O19" s="9"/>
      <c r="P19" s="9"/>
      <c r="Q19" s="9"/>
      <c r="R19" s="9"/>
      <c r="S19" s="9"/>
      <c r="T19" s="9"/>
      <c r="U19" s="425"/>
      <c r="V19" s="450"/>
      <c r="W19" s="373"/>
    </row>
    <row r="20" spans="2:23" ht="14.25" customHeight="1" x14ac:dyDescent="0.2">
      <c r="B20" s="449" t="s">
        <v>158</v>
      </c>
      <c r="C20" s="408"/>
      <c r="D20" s="415"/>
      <c r="E20" s="424">
        <f>IFERROR(GETPIVOTDATA("BVO", revit_input_draaitabel!$A$1, "typologie", E$13, "typologie_type", $B$19),0)</f>
        <v>0</v>
      </c>
      <c r="F20" s="424">
        <f>IFERROR(GETPIVOTDATA("BVO", revit_input_draaitabel!$A$1, "typologie", F$13, "typologie_type", $B$19),0)</f>
        <v>0</v>
      </c>
      <c r="G20" s="424">
        <f>IFERROR(GETPIVOTDATA("BVO", revit_input_draaitabel!$A$1, "typologie", G$13, "typologie_type", $B$19),0)</f>
        <v>0</v>
      </c>
      <c r="H20" s="424">
        <f>IFERROR(GETPIVOTDATA("BVO", revit_input_draaitabel!$A$1, "typologie", H$13, "typologie_type", $B$19),0)</f>
        <v>0</v>
      </c>
      <c r="I20" s="424">
        <f>IFERROR(GETPIVOTDATA("BVO", revit_input_draaitabel!$A$1, "typologie", I$13, "typologie_type", $B$19),0)</f>
        <v>0</v>
      </c>
      <c r="J20" s="424">
        <f>IFERROR(GETPIVOTDATA("BVO", revit_input_draaitabel!$A$1, "typologie", J$13, "typologie_type", $B$19),0)</f>
        <v>0</v>
      </c>
      <c r="K20" s="425">
        <f t="shared" ref="K20:K21" si="11">SUM(E20:J20)</f>
        <v>0</v>
      </c>
      <c r="L20" s="424">
        <f>IFERROR(GETPIVOTDATA("BVO", revit_input_draaitabel!$A$1, "typologie", L$13, "typologie_type", $B$19),0)</f>
        <v>0</v>
      </c>
      <c r="M20" s="424">
        <f>IFERROR(GETPIVOTDATA("BVO", revit_input_draaitabel!$A$1, "typologie", M$13, "typologie_type", $B$19),0)</f>
        <v>0</v>
      </c>
      <c r="N20" s="425">
        <f t="shared" ref="N20:N21" si="12">SUM(L20:M20)</f>
        <v>0</v>
      </c>
      <c r="O20" s="424">
        <f>IFERROR(GETPIVOTDATA("BVO", revit_input_draaitabel!$A$1, "typologie", O$13, "typologie_type", $B$19),0)</f>
        <v>0</v>
      </c>
      <c r="P20" s="424">
        <f>IFERROR(GETPIVOTDATA("BVO", revit_input_draaitabel!$A$1, "typologie", P$13, "typologie_type", $B$19),0)</f>
        <v>0</v>
      </c>
      <c r="Q20" s="424">
        <f>IFERROR(GETPIVOTDATA("BVO", revit_input_draaitabel!$A$1, "typologie", Q$13, "typologie_type", $B$19),0)</f>
        <v>0</v>
      </c>
      <c r="R20" s="424">
        <f>IFERROR(GETPIVOTDATA("BVO", revit_input_draaitabel!$A$1, "typologie", R$13, "typologie_type", $B$19),0)</f>
        <v>1000</v>
      </c>
      <c r="S20" s="424">
        <f>IFERROR(GETPIVOTDATA("BVO", revit_input_draaitabel!$A$1, "typologie", S$13, "typologie_type", $B$19),0)</f>
        <v>0</v>
      </c>
      <c r="T20" s="424">
        <f>IFERROR(GETPIVOTDATA("BVO", revit_input_draaitabel!$A$1, "typologie", T$13, "typologie_type", $B$19),0)</f>
        <v>0</v>
      </c>
      <c r="U20" s="425">
        <f t="shared" ref="U20:U21" si="13">SUM(O20:T20)</f>
        <v>1000</v>
      </c>
      <c r="V20" s="450">
        <f t="shared" si="10"/>
        <v>1000</v>
      </c>
      <c r="W20" s="373"/>
    </row>
    <row r="21" spans="2:23" ht="14.25" customHeight="1" x14ac:dyDescent="0.2">
      <c r="B21" s="449" t="s">
        <v>105</v>
      </c>
      <c r="C21" s="408"/>
      <c r="D21" s="415"/>
      <c r="E21" s="424">
        <f>IFERROR(GETPIVOTDATA("GBO", revit_input_draaitabel!$A$1, "typologie", E$13, "typologie_type", $B$19),0)</f>
        <v>0</v>
      </c>
      <c r="F21" s="424">
        <f>IFERROR(GETPIVOTDATA("GBO", revit_input_draaitabel!$A$1, "typologie", F$13, "typologie_type", $B$19),0)</f>
        <v>0</v>
      </c>
      <c r="G21" s="424">
        <f>IFERROR(GETPIVOTDATA("GBO", revit_input_draaitabel!$A$1, "typologie", G$13, "typologie_type", $B$19),0)</f>
        <v>0</v>
      </c>
      <c r="H21" s="424">
        <f>IFERROR(GETPIVOTDATA("GBO", revit_input_draaitabel!$A$1, "typologie", H$13, "typologie_type", $B$19),0)</f>
        <v>0</v>
      </c>
      <c r="I21" s="424">
        <f>IFERROR(GETPIVOTDATA("GBO", revit_input_draaitabel!$A$1, "typologie", I$13, "typologie_type", $B$19),0)</f>
        <v>0</v>
      </c>
      <c r="J21" s="424">
        <f>IFERROR(GETPIVOTDATA("GBO", revit_input_draaitabel!$A$1, "typologie", J$13, "typologie_type", $B$19),0)</f>
        <v>0</v>
      </c>
      <c r="K21" s="425">
        <f t="shared" si="11"/>
        <v>0</v>
      </c>
      <c r="L21" s="424">
        <f>IFERROR(GETPIVOTDATA("GBO", revit_input_draaitabel!$A$1, "typologie", L$13, "typologie_type", $B$19),0)</f>
        <v>0</v>
      </c>
      <c r="M21" s="424">
        <f>IFERROR(GETPIVOTDATA("GBO", revit_input_draaitabel!$A$1, "typologie", M$13, "typologie_type", $B$19),0)</f>
        <v>0</v>
      </c>
      <c r="N21" s="425">
        <f t="shared" si="12"/>
        <v>0</v>
      </c>
      <c r="O21" s="424">
        <f>IFERROR(GETPIVOTDATA("GBO", revit_input_draaitabel!$A$1, "typologie", O$13, "typologie_type", $B$19),0)</f>
        <v>0</v>
      </c>
      <c r="P21" s="424">
        <f>IFERROR(GETPIVOTDATA("GBO", revit_input_draaitabel!$A$1, "typologie", P$13, "typologie_type", $B$19),0)</f>
        <v>0</v>
      </c>
      <c r="Q21" s="424">
        <f>IFERROR(GETPIVOTDATA("GBO", revit_input_draaitabel!$A$1, "typologie", Q$13, "typologie_type", $B$19),0)</f>
        <v>0</v>
      </c>
      <c r="R21" s="424">
        <f>IFERROR(GETPIVOTDATA("GBO", revit_input_draaitabel!$A$1, "typologie", R$13, "typologie_type", $B$19),0)</f>
        <v>1000</v>
      </c>
      <c r="S21" s="424">
        <f>IFERROR(GETPIVOTDATA("GBO", revit_input_draaitabel!$A$1, "typologie", S$13, "typologie_type", $B$19),0)</f>
        <v>0</v>
      </c>
      <c r="T21" s="424">
        <f>IFERROR(GETPIVOTDATA("GBO", revit_input_draaitabel!$A$1, "typologie", T$13, "typologie_type", $B$19),0)</f>
        <v>0</v>
      </c>
      <c r="U21" s="425">
        <f t="shared" si="13"/>
        <v>1000</v>
      </c>
      <c r="V21" s="450">
        <f t="shared" si="10"/>
        <v>1000</v>
      </c>
      <c r="W21" s="373"/>
    </row>
    <row r="22" spans="2:23" ht="14.25" customHeight="1" x14ac:dyDescent="0.2">
      <c r="B22" s="449" t="s">
        <v>44</v>
      </c>
      <c r="C22" s="409"/>
      <c r="D22" s="416"/>
      <c r="E22" s="427">
        <f t="shared" ref="E22:F22" si="14">E21/IF(E20=0,1,E20)</f>
        <v>0</v>
      </c>
      <c r="F22" s="427">
        <f t="shared" si="14"/>
        <v>0</v>
      </c>
      <c r="G22" s="427">
        <f>G21/IF(G20=0,1,G20)</f>
        <v>0</v>
      </c>
      <c r="H22" s="427">
        <f t="shared" ref="H22:J22" si="15">H21/IF(H20=0,1,H20)</f>
        <v>0</v>
      </c>
      <c r="I22" s="427">
        <f t="shared" si="15"/>
        <v>0</v>
      </c>
      <c r="J22" s="427">
        <f t="shared" si="15"/>
        <v>0</v>
      </c>
      <c r="K22" s="428"/>
      <c r="L22" s="427">
        <f t="shared" ref="L22:M22" si="16">L21/IF(L20=0,1,L20)</f>
        <v>0</v>
      </c>
      <c r="M22" s="427">
        <f t="shared" si="16"/>
        <v>0</v>
      </c>
      <c r="N22" s="428"/>
      <c r="O22" s="427">
        <f t="shared" ref="O22:T22" si="17">O21/IF(O20=0,1,O20)</f>
        <v>0</v>
      </c>
      <c r="P22" s="427">
        <f t="shared" si="17"/>
        <v>0</v>
      </c>
      <c r="Q22" s="427">
        <f t="shared" si="17"/>
        <v>0</v>
      </c>
      <c r="R22" s="427">
        <f t="shared" si="17"/>
        <v>1</v>
      </c>
      <c r="S22" s="427">
        <f t="shared" si="17"/>
        <v>0</v>
      </c>
      <c r="T22" s="427">
        <f t="shared" si="17"/>
        <v>0</v>
      </c>
      <c r="U22" s="428"/>
      <c r="V22" s="451"/>
      <c r="W22" s="373"/>
    </row>
    <row r="23" spans="2:23" ht="14.25" customHeight="1" x14ac:dyDescent="0.2">
      <c r="B23" s="455"/>
      <c r="C23" s="410"/>
      <c r="D23" s="421" t="s">
        <v>110</v>
      </c>
      <c r="E23" s="429">
        <f>IFERROR(GETPIVOTDATA("woningen_aantal", revit_input_draaitabel!$A$1, "typologie", E$13, "typologie_type", $B$19),0)</f>
        <v>0</v>
      </c>
      <c r="F23" s="429">
        <f>IFERROR(GETPIVOTDATA("woningen_aantal", revit_input_draaitabel!$A$1, "typologie", F$13, "typologie_type", $B$19),0)</f>
        <v>0</v>
      </c>
      <c r="G23" s="429">
        <f>IFERROR(GETPIVOTDATA("woningen_aantal", revit_input_draaitabel!$A$1, "typologie", G$13, "typologie_type", $B$19),0)</f>
        <v>0</v>
      </c>
      <c r="H23" s="429">
        <f>IFERROR(GETPIVOTDATA("woningen_aantal", revit_input_draaitabel!$A$1, "typologie", H$13, "typologie_type", $B$19),0)</f>
        <v>0</v>
      </c>
      <c r="I23" s="429">
        <f>IFERROR(GETPIVOTDATA("woningen_aantal", revit_input_draaitabel!$A$1, "typologie", I$13, "typologie_type", $B$19),0)</f>
        <v>0</v>
      </c>
      <c r="J23" s="429">
        <f>IFERROR(GETPIVOTDATA("woningen_aantal", revit_input_draaitabel!$A$1, "typologie", J$13, "typologie_type", $B$19),0)</f>
        <v>0</v>
      </c>
      <c r="K23" s="430">
        <f t="shared" ref="K23" si="18">SUM(E23:J23)</f>
        <v>0</v>
      </c>
      <c r="L23" s="429">
        <f>IFERROR(GETPIVOTDATA("woningen_aantal", revit_input_draaitabel!$A$1, "typologie", L$13, "typologie_type", $B$19),0)</f>
        <v>0</v>
      </c>
      <c r="M23" s="429">
        <f>IFERROR(GETPIVOTDATA("woningen_aantal", revit_input_draaitabel!$A$1, "typologie", M$13, "typologie_type", $B$19),0)</f>
        <v>0</v>
      </c>
      <c r="N23" s="430">
        <f t="shared" ref="N23" si="19">SUM(L23:M23)</f>
        <v>0</v>
      </c>
      <c r="O23" s="429">
        <f>IFERROR(GETPIVOTDATA("woningen_aantal", revit_input_draaitabel!$A$1, "typologie", O$13, "typologie_type", $B$19),0)</f>
        <v>0</v>
      </c>
      <c r="P23" s="429">
        <f>IFERROR(GETPIVOTDATA("woningen_aantal", revit_input_draaitabel!$A$1, "typologie", P$13, "typologie_type", $B$19),0)</f>
        <v>0</v>
      </c>
      <c r="Q23" s="429">
        <f>IFERROR(GETPIVOTDATA("woningen_aantal", revit_input_draaitabel!$A$1, "typologie", Q$13, "typologie_type", $B$19),0)</f>
        <v>0</v>
      </c>
      <c r="R23" s="429">
        <f>IFERROR(GETPIVOTDATA("woningen_aantal", revit_input_draaitabel!$A$1, "typologie", R$13, "typologie_type", $B$19),0)</f>
        <v>0</v>
      </c>
      <c r="S23" s="429">
        <f>IFERROR(GETPIVOTDATA("woningen_aantal", revit_input_draaitabel!$A$1, "typologie", S$13, "typologie_type", $B$19),0)</f>
        <v>0</v>
      </c>
      <c r="T23" s="429">
        <f>IFERROR(GETPIVOTDATA("woningen_aantal", revit_input_draaitabel!$A$1, "typologie", T$13, "typologie_type", $B$19),0)</f>
        <v>0</v>
      </c>
      <c r="U23" s="430">
        <f>SUM(O23:T23)</f>
        <v>0</v>
      </c>
      <c r="V23" s="453">
        <f t="shared" ref="V23" si="20">K23+N23+U23</f>
        <v>0</v>
      </c>
      <c r="W23" s="373"/>
    </row>
    <row r="24" spans="2:23" ht="14.25" customHeight="1" x14ac:dyDescent="0.2">
      <c r="B24" s="454" t="s">
        <v>217</v>
      </c>
      <c r="C24" s="411"/>
      <c r="D24" s="417"/>
      <c r="E24" s="9"/>
      <c r="F24" s="9"/>
      <c r="G24" s="9"/>
      <c r="H24" s="9"/>
      <c r="I24" s="9"/>
      <c r="J24" s="9"/>
      <c r="K24" s="425"/>
      <c r="L24" s="9"/>
      <c r="M24" s="9"/>
      <c r="N24" s="425"/>
      <c r="O24" s="9"/>
      <c r="P24" s="9"/>
      <c r="Q24" s="9"/>
      <c r="R24" s="9"/>
      <c r="S24" s="9"/>
      <c r="T24" s="9"/>
      <c r="U24" s="425"/>
      <c r="V24" s="450"/>
      <c r="W24" s="373"/>
    </row>
    <row r="25" spans="2:23" ht="14.25" customHeight="1" x14ac:dyDescent="0.2">
      <c r="B25" s="449" t="s">
        <v>104</v>
      </c>
      <c r="C25" s="408"/>
      <c r="D25" s="415"/>
      <c r="E25" s="424">
        <f>IFERROR(GETPIVOTDATA("BVO", revit_input_draaitabel!$A$1, "typologie", E$13, "typologie_type", $B$24),0)</f>
        <v>0</v>
      </c>
      <c r="F25" s="424">
        <f>IFERROR(GETPIVOTDATA("BVO", revit_input_draaitabel!$A$1, "typologie", F$13, "typologie_type", $B$24),0)</f>
        <v>0</v>
      </c>
      <c r="G25" s="424">
        <f>IFERROR(GETPIVOTDATA("BVO", revit_input_draaitabel!$A$1, "typologie", G$13, "typologie_type", $B$24),0)</f>
        <v>0</v>
      </c>
      <c r="H25" s="424">
        <f>IFERROR(GETPIVOTDATA("BVO", revit_input_draaitabel!$A$1, "typologie", H$13, "typologie_type", $B$24),0)</f>
        <v>0</v>
      </c>
      <c r="I25" s="424">
        <f>IFERROR(GETPIVOTDATA("BVO", revit_input_draaitabel!$A$1, "typologie", I$13, "typologie_type", $B$24),0)</f>
        <v>0</v>
      </c>
      <c r="J25" s="424">
        <f>IFERROR(GETPIVOTDATA("BVO", revit_input_draaitabel!$A$1, "typologie", J$13, "typologie_type", $B$24),0)</f>
        <v>0</v>
      </c>
      <c r="K25" s="425">
        <f t="shared" ref="K25:K26" si="21">SUM(E25:J25)</f>
        <v>0</v>
      </c>
      <c r="L25" s="424">
        <f>IFERROR(GETPIVOTDATA("BVO", revit_input_draaitabel!$A$1, "typologie", L$13, "typologie_type", $B$24),0)</f>
        <v>0</v>
      </c>
      <c r="M25" s="424">
        <f>IFERROR(GETPIVOTDATA("BVO", revit_input_draaitabel!$A$1, "typologie", M$13, "typologie_type", $B$19),0)</f>
        <v>0</v>
      </c>
      <c r="N25" s="425">
        <f t="shared" ref="N25:N26" si="22">SUM(L25:M25)</f>
        <v>0</v>
      </c>
      <c r="O25" s="424">
        <f>IFERROR(GETPIVOTDATA("BVO", revit_input_draaitabel!$A$1, "typologie", O$13, "typologie_type", $B$24),0)</f>
        <v>0</v>
      </c>
      <c r="P25" s="424">
        <f>IFERROR(GETPIVOTDATA("BVO", revit_input_draaitabel!$A$1, "typologie", P$13, "typologie_type", $B$24),0)</f>
        <v>0</v>
      </c>
      <c r="Q25" s="424">
        <f>IFERROR(GETPIVOTDATA("BVO", revit_input_draaitabel!$A$1, "typologie", Q$13, "typologie_type", $B$24),0)</f>
        <v>0</v>
      </c>
      <c r="R25" s="424">
        <f>IFERROR(GETPIVOTDATA("BVO", revit_input_draaitabel!$A$1, "typologie", R$13, "typologie_type", $B$24),0)</f>
        <v>0</v>
      </c>
      <c r="S25" s="424">
        <f>IFERROR(GETPIVOTDATA("BVO", revit_input_draaitabel!$A$1, "typologie", S$13, "typologie_type", $B$24),0)</f>
        <v>0</v>
      </c>
      <c r="T25" s="424">
        <f>IFERROR(GETPIVOTDATA("BVO", revit_input_draaitabel!$A$1, "typologie", T$13, "typologie_type", $B$24),0)</f>
        <v>0</v>
      </c>
      <c r="U25" s="425">
        <f t="shared" ref="U25:U26" si="23">SUM(O25:T25)</f>
        <v>0</v>
      </c>
      <c r="V25" s="450">
        <f t="shared" ref="V25:V26" si="24">K25+N25+U25</f>
        <v>0</v>
      </c>
      <c r="W25" s="373"/>
    </row>
    <row r="26" spans="2:23" ht="14.25" customHeight="1" x14ac:dyDescent="0.2">
      <c r="B26" s="449" t="s">
        <v>105</v>
      </c>
      <c r="C26" s="408"/>
      <c r="D26" s="415"/>
      <c r="E26" s="424">
        <f>IFERROR(GETPIVOTDATA("GBO", revit_input_draaitabel!$A$1, "typologie", E$13, "typologie_type", $B$24),0)</f>
        <v>0</v>
      </c>
      <c r="F26" s="424">
        <f>IFERROR(GETPIVOTDATA("GBO", revit_input_draaitabel!$A$1, "typologie", F$13, "typologie_type", $B$24),0)</f>
        <v>0</v>
      </c>
      <c r="G26" s="424">
        <f>IFERROR(GETPIVOTDATA("GBO", revit_input_draaitabel!$A$1, "typologie", G$13, "typologie_type", $B$24),0)</f>
        <v>0</v>
      </c>
      <c r="H26" s="424">
        <f>IFERROR(GETPIVOTDATA("GBO", revit_input_draaitabel!$A$1, "typologie", H$13, "typologie_type", $B$24),0)</f>
        <v>0</v>
      </c>
      <c r="I26" s="424">
        <f>IFERROR(GETPIVOTDATA("GBO", revit_input_draaitabel!$A$1, "typologie", I$13, "typologie_type", $B$24),0)</f>
        <v>0</v>
      </c>
      <c r="J26" s="424">
        <f>IFERROR(GETPIVOTDATA("GBO", revit_input_draaitabel!$A$1, "typologie", J$13, "typologie_type", $B$24),0)</f>
        <v>0</v>
      </c>
      <c r="K26" s="425">
        <f t="shared" si="21"/>
        <v>0</v>
      </c>
      <c r="L26" s="424">
        <f>IFERROR(GETPIVOTDATA("GBO", revit_input_draaitabel!$A$1, "typologie", L$13, "typologie_type", $B$24),0)</f>
        <v>0</v>
      </c>
      <c r="M26" s="424">
        <f>IFERROR(GETPIVOTDATA("GBO", revit_input_draaitabel!$A$1, "typologie", M$13, "typologie_type", $B$19),0)</f>
        <v>0</v>
      </c>
      <c r="N26" s="425">
        <f t="shared" si="22"/>
        <v>0</v>
      </c>
      <c r="O26" s="424">
        <f>IFERROR(GETPIVOTDATA("GBO", revit_input_draaitabel!$A$1, "typologie", O$13, "typologie_type", $B$24),0)</f>
        <v>0</v>
      </c>
      <c r="P26" s="424">
        <f>IFERROR(GETPIVOTDATA("GBO", revit_input_draaitabel!$A$1, "typologie", P$13, "typologie_type", $B$24),0)</f>
        <v>0</v>
      </c>
      <c r="Q26" s="424">
        <f>IFERROR(GETPIVOTDATA("GBO", revit_input_draaitabel!$A$1, "typologie", Q$13, "typologie_type", $B$24),0)</f>
        <v>0</v>
      </c>
      <c r="R26" s="424">
        <f>IFERROR(GETPIVOTDATA("GBO", revit_input_draaitabel!$A$1, "typologie", R$13, "typologie_type", $B$24),0)</f>
        <v>0</v>
      </c>
      <c r="S26" s="424">
        <f>IFERROR(GETPIVOTDATA("GBO", revit_input_draaitabel!$A$1, "typologie", S$13, "typologie_type", $B$24),0)</f>
        <v>0</v>
      </c>
      <c r="T26" s="424">
        <f>IFERROR(GETPIVOTDATA("GBO", revit_input_draaitabel!$A$1, "typologie", T$13, "typologie_type", $B$24),0)</f>
        <v>0</v>
      </c>
      <c r="U26" s="425">
        <f t="shared" si="23"/>
        <v>0</v>
      </c>
      <c r="V26" s="450">
        <f t="shared" si="24"/>
        <v>0</v>
      </c>
      <c r="W26" s="373"/>
    </row>
    <row r="27" spans="2:23" ht="14.25" customHeight="1" x14ac:dyDescent="0.2">
      <c r="B27" s="449" t="s">
        <v>44</v>
      </c>
      <c r="C27" s="409"/>
      <c r="D27" s="416"/>
      <c r="E27" s="427">
        <f t="shared" ref="E27:F27" si="25">E26/IF(E25=0,1,E25)</f>
        <v>0</v>
      </c>
      <c r="F27" s="427">
        <f t="shared" si="25"/>
        <v>0</v>
      </c>
      <c r="G27" s="427">
        <f>G26/IF(G25=0,1,G25)</f>
        <v>0</v>
      </c>
      <c r="H27" s="427">
        <f t="shared" ref="H27:J27" si="26">H26/IF(H25=0,1,H25)</f>
        <v>0</v>
      </c>
      <c r="I27" s="427">
        <f t="shared" si="26"/>
        <v>0</v>
      </c>
      <c r="J27" s="427">
        <f t="shared" si="26"/>
        <v>0</v>
      </c>
      <c r="K27" s="428"/>
      <c r="L27" s="427">
        <f t="shared" ref="L27:M27" si="27">L26/IF(L25=0,1,L25)</f>
        <v>0</v>
      </c>
      <c r="M27" s="427">
        <f t="shared" si="27"/>
        <v>0</v>
      </c>
      <c r="N27" s="428"/>
      <c r="O27" s="427">
        <f t="shared" ref="O27:T27" si="28">O26/IF(O25=0,1,O25)</f>
        <v>0</v>
      </c>
      <c r="P27" s="427">
        <f t="shared" si="28"/>
        <v>0</v>
      </c>
      <c r="Q27" s="427">
        <f t="shared" si="28"/>
        <v>0</v>
      </c>
      <c r="R27" s="427">
        <f t="shared" si="28"/>
        <v>0</v>
      </c>
      <c r="S27" s="427">
        <f t="shared" si="28"/>
        <v>0</v>
      </c>
      <c r="T27" s="427">
        <f t="shared" si="28"/>
        <v>0</v>
      </c>
      <c r="U27" s="428"/>
      <c r="V27" s="451"/>
      <c r="W27" s="373"/>
    </row>
    <row r="28" spans="2:23" ht="14.25" customHeight="1" x14ac:dyDescent="0.2">
      <c r="B28" s="455"/>
      <c r="C28" s="410"/>
      <c r="D28" s="421" t="s">
        <v>110</v>
      </c>
      <c r="E28" s="429">
        <f>IFERROR(GETPIVOTDATA("woningen_aantal", revit_input_draaitabel!$A$1, "typologie", E$13, "typologie_type", $B$24),0)</f>
        <v>0</v>
      </c>
      <c r="F28" s="429">
        <f>IFERROR(GETPIVOTDATA("woningen_aantal", revit_input_draaitabel!$A$1, "typologie", F$13, "typologie_type", $B$24),0)</f>
        <v>0</v>
      </c>
      <c r="G28" s="429">
        <f>IFERROR(GETPIVOTDATA("woningen_aantal", revit_input_draaitabel!$A$1, "typologie", G$13, "typologie_type", $B$24),0)</f>
        <v>0</v>
      </c>
      <c r="H28" s="429">
        <f>IFERROR(GETPIVOTDATA("woningen_aantal", revit_input_draaitabel!$A$1, "typologie", H$13, "typologie_type", $B$24),0)</f>
        <v>0</v>
      </c>
      <c r="I28" s="429">
        <f>IFERROR(GETPIVOTDATA("woningen_aantal", revit_input_draaitabel!$A$1, "typologie", I$13, "typologie_type", $B$24),0)</f>
        <v>0</v>
      </c>
      <c r="J28" s="429">
        <f>IFERROR(GETPIVOTDATA("woningen_aantal", revit_input_draaitabel!$A$1, "typologie", J$13, "typologie_type", $B$24),0)</f>
        <v>0</v>
      </c>
      <c r="K28" s="430">
        <f t="shared" ref="K28" si="29">SUM(E28:J28)</f>
        <v>0</v>
      </c>
      <c r="L28" s="429">
        <f>IFERROR(GETPIVOTDATA("woningen_aantal", revit_input_draaitabel!$A$1, "typologie", L$13, "typologie_type", $B$24),0)</f>
        <v>0</v>
      </c>
      <c r="M28" s="429">
        <f>IFERROR(GETPIVOTDATA("woningen_aantal", revit_input_draaitabel!$A$1, "typologie", M$13, "typologie_type", $B$19),0)</f>
        <v>0</v>
      </c>
      <c r="N28" s="430">
        <f t="shared" ref="N28" si="30">SUM(L28:M28)</f>
        <v>0</v>
      </c>
      <c r="O28" s="429">
        <f>IFERROR(GETPIVOTDATA("woningen_aantal", revit_input_draaitabel!$A$1, "typologie", O$13, "typologie_type", $B$24),0)</f>
        <v>0</v>
      </c>
      <c r="P28" s="429">
        <f>IFERROR(GETPIVOTDATA("woningen_aantal", revit_input_draaitabel!$A$1, "typologie", P$13, "typologie_type", $B$24),0)</f>
        <v>0</v>
      </c>
      <c r="Q28" s="429">
        <f>IFERROR(GETPIVOTDATA("woningen_aantal", revit_input_draaitabel!$A$1, "typologie", Q$13, "typologie_type", $B$24),0)</f>
        <v>0</v>
      </c>
      <c r="R28" s="429">
        <f>IFERROR(GETPIVOTDATA("woningen_aantal", revit_input_draaitabel!$A$1, "typologie", R$13, "typologie_type", $B$24),0)</f>
        <v>0</v>
      </c>
      <c r="S28" s="429">
        <f>IFERROR(GETPIVOTDATA("woningen_aantal", revit_input_draaitabel!$A$1, "typologie", S$13, "typologie_type", $B$24),0)</f>
        <v>0</v>
      </c>
      <c r="T28" s="429">
        <f>IFERROR(GETPIVOTDATA("woningen_aantal", revit_input_draaitabel!$A$1, "typologie", T$13, "typologie_type", $B$24),0)</f>
        <v>0</v>
      </c>
      <c r="U28" s="430">
        <f>SUM(O28:T28)</f>
        <v>0</v>
      </c>
      <c r="V28" s="453">
        <f t="shared" ref="V28" si="31">K28+N28+U28</f>
        <v>0</v>
      </c>
      <c r="W28" s="373"/>
    </row>
    <row r="29" spans="2:23" ht="14.25" customHeight="1" x14ac:dyDescent="0.2">
      <c r="B29" s="454" t="s">
        <v>111</v>
      </c>
      <c r="C29" s="370"/>
      <c r="D29" s="418"/>
      <c r="E29" s="9"/>
      <c r="F29" s="9"/>
      <c r="G29" s="9"/>
      <c r="H29" s="9"/>
      <c r="I29" s="9"/>
      <c r="J29" s="9"/>
      <c r="K29" s="425"/>
      <c r="L29" s="9"/>
      <c r="M29" s="9"/>
      <c r="N29" s="425"/>
      <c r="O29" s="9"/>
      <c r="P29" s="9"/>
      <c r="Q29" s="9"/>
      <c r="R29" s="9"/>
      <c r="S29" s="9"/>
      <c r="T29" s="9"/>
      <c r="U29" s="425"/>
      <c r="V29" s="450"/>
      <c r="W29" s="373"/>
    </row>
    <row r="30" spans="2:23" ht="14.25" customHeight="1" x14ac:dyDescent="0.2">
      <c r="B30" s="449" t="s">
        <v>104</v>
      </c>
      <c r="C30" s="408"/>
      <c r="D30" s="415"/>
      <c r="E30" s="424">
        <f>IFERROR(GETPIVOTDATA("BVO", revit_input_draaitabel!$A$1, "typologie", E$13, "typologie_type", $B$29),0)</f>
        <v>0</v>
      </c>
      <c r="F30" s="424">
        <f>IFERROR(GETPIVOTDATA("BVO", revit_input_draaitabel!$A$1, "typologie", F$13, "typologie_type", $B$29),0)</f>
        <v>0</v>
      </c>
      <c r="G30" s="424">
        <f>IFERROR(GETPIVOTDATA("BVO", revit_input_draaitabel!$A$1, "typologie", G$13, "typologie_type", $B$29),0)</f>
        <v>0</v>
      </c>
      <c r="H30" s="424">
        <f>IFERROR(GETPIVOTDATA("BVO", revit_input_draaitabel!$A$1, "typologie", H$13, "typologie_type", $B$29),0)</f>
        <v>0</v>
      </c>
      <c r="I30" s="424">
        <f>IFERROR(GETPIVOTDATA("BVO", revit_input_draaitabel!$A$1, "typologie", I$13, "typologie_type", $B$29),0)</f>
        <v>0</v>
      </c>
      <c r="J30" s="424">
        <f>IFERROR(GETPIVOTDATA("BVO", revit_input_draaitabel!$A$1, "typologie", J$13, "typologie_type", $B$29),0)</f>
        <v>0</v>
      </c>
      <c r="K30" s="425">
        <f t="shared" ref="K30:K31" si="32">SUM(E30:J30)</f>
        <v>0</v>
      </c>
      <c r="L30" s="424">
        <f>IFERROR(GETPIVOTDATA("BVO", revit_input_draaitabel!$A$1, "typologie", L$13, "typologie_type", $B$29),0)</f>
        <v>0</v>
      </c>
      <c r="M30" s="424">
        <f>IFERROR(GETPIVOTDATA("BVO", revit_input_draaitabel!$A$1, "typologie", M$13, "typologie_type", $B$29),0)</f>
        <v>0</v>
      </c>
      <c r="N30" s="425">
        <f t="shared" ref="N30:N31" si="33">SUM(L30:M30)</f>
        <v>0</v>
      </c>
      <c r="O30" s="424">
        <f>IFERROR(GETPIVOTDATA("BVO", revit_input_draaitabel!$A$1, "typologie", O$13, "typologie_type", $B$29),0)</f>
        <v>0</v>
      </c>
      <c r="P30" s="424">
        <f>IFERROR(GETPIVOTDATA("BVO", revit_input_draaitabel!$A$1, "typologie", P$13, "typologie_type", $B$29),0)</f>
        <v>0</v>
      </c>
      <c r="Q30" s="424">
        <f>IFERROR(GETPIVOTDATA("BVO", revit_input_draaitabel!$A$1, "typologie", Q$13, "typologie_type", $B$29),0)</f>
        <v>0</v>
      </c>
      <c r="R30" s="424">
        <f>IFERROR(GETPIVOTDATA("BVO", revit_input_draaitabel!$A$1, "typologie", R$13, "typologie_type", $B$29),0)</f>
        <v>0</v>
      </c>
      <c r="S30" s="424">
        <f>IFERROR(GETPIVOTDATA("BVO", revit_input_draaitabel!$A$1, "typologie", S$13, "typologie_type", $B$29),0)</f>
        <v>0</v>
      </c>
      <c r="T30" s="424">
        <f>IFERROR(GETPIVOTDATA("BVO", revit_input_draaitabel!$A$1, "typologie", T$13, "typologie_type", $B$29),0)</f>
        <v>0</v>
      </c>
      <c r="U30" s="425">
        <f t="shared" ref="U30:U31" si="34">SUM(O30:T30)</f>
        <v>0</v>
      </c>
      <c r="V30" s="450">
        <f t="shared" ref="V30:V31" si="35">K30+N30+U30</f>
        <v>0</v>
      </c>
      <c r="W30" s="373"/>
    </row>
    <row r="31" spans="2:23" ht="14.25" customHeight="1" x14ac:dyDescent="0.2">
      <c r="B31" s="449" t="s">
        <v>105</v>
      </c>
      <c r="C31" s="408"/>
      <c r="D31" s="415"/>
      <c r="E31" s="424">
        <f>IFERROR(GETPIVOTDATA("GBO", revit_input_draaitabel!$A$1, "typologie", E$13, "typologie_type", $B$29),0)</f>
        <v>0</v>
      </c>
      <c r="F31" s="424">
        <f>IFERROR(GETPIVOTDATA("GBO", revit_input_draaitabel!$A$1, "typologie", F$13, "typologie_type", $B$29),0)</f>
        <v>0</v>
      </c>
      <c r="G31" s="424">
        <f>IFERROR(GETPIVOTDATA("GBO", revit_input_draaitabel!$A$1, "typologie", G$13, "typologie_type", $B$29),0)</f>
        <v>0</v>
      </c>
      <c r="H31" s="424">
        <f>IFERROR(GETPIVOTDATA("GBO", revit_input_draaitabel!$A$1, "typologie", H$13, "typologie_type", $B$29),0)</f>
        <v>0</v>
      </c>
      <c r="I31" s="424">
        <f>IFERROR(GETPIVOTDATA("GBO", revit_input_draaitabel!$A$1, "typologie", I$13, "typologie_type", $B$29),0)</f>
        <v>0</v>
      </c>
      <c r="J31" s="424">
        <f>IFERROR(GETPIVOTDATA("GBO", revit_input_draaitabel!$A$1, "typologie", J$13, "typologie_type", $B$29),0)</f>
        <v>0</v>
      </c>
      <c r="K31" s="425">
        <f t="shared" si="32"/>
        <v>0</v>
      </c>
      <c r="L31" s="424">
        <f>IFERROR(GETPIVOTDATA("GBO", revit_input_draaitabel!$A$1, "typologie", L$13, "typologie_type", $B$29),0)</f>
        <v>0</v>
      </c>
      <c r="M31" s="424">
        <f>IFERROR(GETPIVOTDATA("GBO", revit_input_draaitabel!$A$1, "typologie", M$13, "typologie_type", $B$29),0)</f>
        <v>0</v>
      </c>
      <c r="N31" s="425">
        <f t="shared" si="33"/>
        <v>0</v>
      </c>
      <c r="O31" s="424">
        <f>IFERROR(GETPIVOTDATA("GBO", revit_input_draaitabel!$A$1, "typologie", O$13, "typologie_type", $B$29),0)</f>
        <v>0</v>
      </c>
      <c r="P31" s="424">
        <f>IFERROR(GETPIVOTDATA("GBO", revit_input_draaitabel!$A$1, "typologie", P$13, "typologie_type", $B$29),0)</f>
        <v>0</v>
      </c>
      <c r="Q31" s="424">
        <f>IFERROR(GETPIVOTDATA("GBO", revit_input_draaitabel!$A$1, "typologie", Q$13, "typologie_type", $B$29),0)</f>
        <v>0</v>
      </c>
      <c r="R31" s="424">
        <f>IFERROR(GETPIVOTDATA("GBO", revit_input_draaitabel!$A$1, "typologie", R$13, "typologie_type", $B$29),0)</f>
        <v>0</v>
      </c>
      <c r="S31" s="424">
        <f>IFERROR(GETPIVOTDATA("GBO", revit_input_draaitabel!$A$1, "typologie", S$13, "typologie_type", $B$29),0)</f>
        <v>0</v>
      </c>
      <c r="T31" s="424">
        <f>IFERROR(GETPIVOTDATA("GBO", revit_input_draaitabel!$A$1, "typologie", T$13, "typologie_type", $B$29),0)</f>
        <v>0</v>
      </c>
      <c r="U31" s="425">
        <f t="shared" si="34"/>
        <v>0</v>
      </c>
      <c r="V31" s="450">
        <f t="shared" si="35"/>
        <v>0</v>
      </c>
      <c r="W31" s="373"/>
    </row>
    <row r="32" spans="2:23" ht="14.25" customHeight="1" x14ac:dyDescent="0.2">
      <c r="B32" s="449" t="s">
        <v>44</v>
      </c>
      <c r="C32" s="409"/>
      <c r="D32" s="416"/>
      <c r="E32" s="427">
        <f t="shared" ref="E32:F32" si="36">E31/IF(E30=0,1,E30)</f>
        <v>0</v>
      </c>
      <c r="F32" s="427">
        <f t="shared" si="36"/>
        <v>0</v>
      </c>
      <c r="G32" s="427">
        <f>G31/IF(G30=0,1,G30)</f>
        <v>0</v>
      </c>
      <c r="H32" s="427">
        <f t="shared" ref="H32:J32" si="37">H31/IF(H30=0,1,H30)</f>
        <v>0</v>
      </c>
      <c r="I32" s="427">
        <f t="shared" si="37"/>
        <v>0</v>
      </c>
      <c r="J32" s="427">
        <f t="shared" si="37"/>
        <v>0</v>
      </c>
      <c r="K32" s="428"/>
      <c r="L32" s="427">
        <f t="shared" ref="L32:M32" si="38">L31/IF(L30=0,1,L30)</f>
        <v>0</v>
      </c>
      <c r="M32" s="427">
        <f t="shared" si="38"/>
        <v>0</v>
      </c>
      <c r="N32" s="428"/>
      <c r="O32" s="427">
        <f t="shared" ref="O32:T32" si="39">O31/IF(O30=0,1,O30)</f>
        <v>0</v>
      </c>
      <c r="P32" s="427">
        <f t="shared" si="39"/>
        <v>0</v>
      </c>
      <c r="Q32" s="427">
        <f t="shared" si="39"/>
        <v>0</v>
      </c>
      <c r="R32" s="427">
        <f t="shared" si="39"/>
        <v>0</v>
      </c>
      <c r="S32" s="427">
        <f t="shared" si="39"/>
        <v>0</v>
      </c>
      <c r="T32" s="427">
        <f t="shared" si="39"/>
        <v>0</v>
      </c>
      <c r="U32" s="428"/>
      <c r="V32" s="451"/>
      <c r="W32" s="373"/>
    </row>
    <row r="33" spans="2:23" ht="14.25" customHeight="1" thickBot="1" x14ac:dyDescent="0.25">
      <c r="B33" s="456"/>
      <c r="C33" s="457"/>
      <c r="D33" s="458" t="s">
        <v>110</v>
      </c>
      <c r="E33" s="459">
        <f>IFERROR(GETPIVOTDATA("woningen_aantal", revit_input_draaitabel!$A$1, "typologie", E$13, "typologie_type", $B$29),0)</f>
        <v>0</v>
      </c>
      <c r="F33" s="459">
        <f>IFERROR(GETPIVOTDATA("woningen_aantal", revit_input_draaitabel!$A$1, "typologie", F$13, "typologie_type", $B$29),0)</f>
        <v>0</v>
      </c>
      <c r="G33" s="459">
        <f>IFERROR(GETPIVOTDATA("woningen_aantal", revit_input_draaitabel!$A$1, "typologie", G$13, "typologie_type", $B$29),0)</f>
        <v>0</v>
      </c>
      <c r="H33" s="459">
        <f>IFERROR(GETPIVOTDATA("woningen_aantal", revit_input_draaitabel!$A$1, "typologie", H$13, "typologie_type", $B$29),0)</f>
        <v>0</v>
      </c>
      <c r="I33" s="459">
        <f>IFERROR(GETPIVOTDATA("woningen_aantal", revit_input_draaitabel!$A$1, "typologie", I$13, "typologie_type", $B$29),0)</f>
        <v>0</v>
      </c>
      <c r="J33" s="459">
        <f>IFERROR(GETPIVOTDATA("woningen_aantal", revit_input_draaitabel!$A$1, "typologie", J$13, "typologie_type", $B$29),0)</f>
        <v>0</v>
      </c>
      <c r="K33" s="460">
        <f t="shared" ref="K33" si="40">SUM(E33:J33)</f>
        <v>0</v>
      </c>
      <c r="L33" s="461">
        <f>IFERROR(GETPIVOTDATA("woningen_aantal", revit_input_draaitabel!$A$1, "typologie", L$13, "typologie_type", $B$29),0)</f>
        <v>0</v>
      </c>
      <c r="M33" s="459">
        <f>IFERROR(GETPIVOTDATA("woningen_aantal", revit_input_draaitabel!$A$1, "typologie", M$13, "typologie_type", $B$29),0)</f>
        <v>0</v>
      </c>
      <c r="N33" s="460">
        <f t="shared" ref="N33" si="41">SUM(L33:M33)</f>
        <v>0</v>
      </c>
      <c r="O33" s="459">
        <f>IFERROR(GETPIVOTDATA("woningen_aantal", revit_input_draaitabel!$A$1, "typologie", O$13, "typologie_type", $B$29),0)</f>
        <v>0</v>
      </c>
      <c r="P33" s="459">
        <f>IFERROR(GETPIVOTDATA("woningen_aantal", revit_input_draaitabel!$A$1, "typologie", P$13, "typologie_type", $B$29),0)</f>
        <v>0</v>
      </c>
      <c r="Q33" s="459">
        <f>IFERROR(GETPIVOTDATA("woningen_aantal", revit_input_draaitabel!$A$1, "typologie", Q$13, "typologie_type", $B$29),0)</f>
        <v>0</v>
      </c>
      <c r="R33" s="459">
        <f>IFERROR(GETPIVOTDATA("woningen_aantal", revit_input_draaitabel!$A$1, "typologie", R$13, "typologie_type", $B$29),0)</f>
        <v>0</v>
      </c>
      <c r="S33" s="459">
        <f>IFERROR(GETPIVOTDATA("woningen_aantal", revit_input_draaitabel!$A$1, "typologie", S$13, "typologie_type", $B$29),0)</f>
        <v>0</v>
      </c>
      <c r="T33" s="459">
        <f>IFERROR(GETPIVOTDATA("woningen_aantal", revit_input_draaitabel!$A$1, "typologie", T$13, "typologie_type", $B$29),0)</f>
        <v>0</v>
      </c>
      <c r="U33" s="460">
        <f>SUM(O33:T33)</f>
        <v>0</v>
      </c>
      <c r="V33" s="462">
        <f t="shared" ref="V33" si="42">K33+N33+U33</f>
        <v>0</v>
      </c>
    </row>
    <row r="34" spans="2:23" ht="6" customHeight="1" thickBot="1" x14ac:dyDescent="0.25">
      <c r="B34" s="408"/>
      <c r="C34" s="408"/>
      <c r="D34" s="408"/>
      <c r="E34" s="424"/>
      <c r="F34" s="424"/>
      <c r="G34" s="424"/>
      <c r="H34" s="424"/>
      <c r="I34" s="424"/>
      <c r="J34" s="424"/>
      <c r="K34" s="424"/>
      <c r="L34" s="424"/>
      <c r="M34" s="424"/>
      <c r="N34" s="424"/>
      <c r="O34" s="424"/>
      <c r="P34" s="424"/>
      <c r="Q34" s="424"/>
      <c r="R34" s="424"/>
      <c r="S34" s="424"/>
      <c r="T34" s="424"/>
      <c r="U34" s="424"/>
      <c r="V34" s="424"/>
      <c r="W34" s="372"/>
    </row>
    <row r="35" spans="2:23" ht="14.25" customHeight="1" x14ac:dyDescent="0.2">
      <c r="B35" s="463" t="s">
        <v>179</v>
      </c>
      <c r="C35" s="464"/>
      <c r="D35" s="465"/>
      <c r="E35" s="466">
        <v>0.5</v>
      </c>
      <c r="F35" s="466">
        <v>0.5</v>
      </c>
      <c r="G35" s="466">
        <v>0.5</v>
      </c>
      <c r="H35" s="466">
        <v>0.5</v>
      </c>
      <c r="I35" s="466">
        <v>0.5</v>
      </c>
      <c r="J35" s="467">
        <v>0.5</v>
      </c>
      <c r="K35" s="468"/>
      <c r="L35" s="469">
        <v>0.5</v>
      </c>
      <c r="M35" s="467">
        <v>0.5</v>
      </c>
      <c r="N35" s="467"/>
      <c r="O35" s="469">
        <v>0.5</v>
      </c>
      <c r="P35" s="466">
        <v>0.5</v>
      </c>
      <c r="Q35" s="466">
        <v>0.5</v>
      </c>
      <c r="R35" s="466"/>
      <c r="S35" s="466">
        <v>0.5</v>
      </c>
      <c r="T35" s="467">
        <v>0.5</v>
      </c>
      <c r="U35" s="470"/>
      <c r="V35" s="471"/>
      <c r="W35" s="372"/>
    </row>
    <row r="36" spans="2:23" ht="14.25" customHeight="1" x14ac:dyDescent="0.2">
      <c r="B36" s="472" t="s">
        <v>107</v>
      </c>
      <c r="C36" s="412"/>
      <c r="D36" s="419"/>
      <c r="E36" s="431"/>
      <c r="F36" s="431"/>
      <c r="G36" s="431"/>
      <c r="H36" s="431"/>
      <c r="I36" s="431"/>
      <c r="J36" s="432"/>
      <c r="K36" s="425">
        <f t="shared" ref="K36:K39" si="43">SUM(E36:J36)</f>
        <v>0</v>
      </c>
      <c r="L36" s="433"/>
      <c r="M36" s="432"/>
      <c r="N36" s="425">
        <f>SUM(L36:M36)</f>
        <v>0</v>
      </c>
      <c r="O36" s="434"/>
      <c r="P36" s="435"/>
      <c r="Q36" s="435"/>
      <c r="R36" s="435"/>
      <c r="S36" s="435"/>
      <c r="T36" s="436"/>
      <c r="U36" s="437">
        <f t="shared" ref="U36:U39" si="44">SUM(O36:T36)</f>
        <v>0</v>
      </c>
      <c r="V36" s="473">
        <f t="shared" ref="V36:V40" si="45">K36+N36+U36</f>
        <v>0</v>
      </c>
      <c r="W36" s="372"/>
    </row>
    <row r="37" spans="2:23" ht="14.25" customHeight="1" x14ac:dyDescent="0.2">
      <c r="B37" s="472" t="s">
        <v>106</v>
      </c>
      <c r="C37" s="412"/>
      <c r="D37" s="419"/>
      <c r="E37" s="431"/>
      <c r="F37" s="438"/>
      <c r="G37" s="435"/>
      <c r="H37" s="435"/>
      <c r="I37" s="435"/>
      <c r="J37" s="436"/>
      <c r="K37" s="425">
        <f t="shared" si="43"/>
        <v>0</v>
      </c>
      <c r="L37" s="434"/>
      <c r="M37" s="436"/>
      <c r="N37" s="425">
        <f t="shared" ref="N37:N39" si="46">SUM(H37:M37)</f>
        <v>0</v>
      </c>
      <c r="O37" s="434"/>
      <c r="P37" s="435"/>
      <c r="Q37" s="435"/>
      <c r="R37" s="435"/>
      <c r="S37" s="435"/>
      <c r="T37" s="436"/>
      <c r="U37" s="425">
        <f t="shared" si="44"/>
        <v>0</v>
      </c>
      <c r="V37" s="450">
        <f t="shared" si="45"/>
        <v>0</v>
      </c>
      <c r="W37" s="372"/>
    </row>
    <row r="38" spans="2:23" ht="14.25" customHeight="1" x14ac:dyDescent="0.2">
      <c r="B38" s="472" t="s">
        <v>108</v>
      </c>
      <c r="C38" s="412"/>
      <c r="D38" s="419"/>
      <c r="E38" s="431"/>
      <c r="F38" s="431"/>
      <c r="G38" s="435"/>
      <c r="H38" s="435"/>
      <c r="I38" s="435"/>
      <c r="J38" s="436"/>
      <c r="K38" s="425">
        <f t="shared" si="43"/>
        <v>0</v>
      </c>
      <c r="L38" s="434"/>
      <c r="M38" s="436"/>
      <c r="N38" s="425">
        <f t="shared" si="46"/>
        <v>0</v>
      </c>
      <c r="O38" s="434"/>
      <c r="P38" s="435"/>
      <c r="Q38" s="435"/>
      <c r="R38" s="435"/>
      <c r="S38" s="435"/>
      <c r="T38" s="436"/>
      <c r="U38" s="425">
        <f t="shared" si="44"/>
        <v>0</v>
      </c>
      <c r="V38" s="450">
        <f t="shared" si="45"/>
        <v>0</v>
      </c>
      <c r="W38" s="372"/>
    </row>
    <row r="39" spans="2:23" x14ac:dyDescent="0.2">
      <c r="B39" s="474" t="s">
        <v>109</v>
      </c>
      <c r="C39" s="413"/>
      <c r="D39" s="420"/>
      <c r="E39" s="439"/>
      <c r="F39" s="440"/>
      <c r="G39" s="441"/>
      <c r="H39" s="441"/>
      <c r="I39" s="441"/>
      <c r="J39" s="442"/>
      <c r="K39" s="425">
        <f t="shared" si="43"/>
        <v>0</v>
      </c>
      <c r="L39" s="443"/>
      <c r="M39" s="442"/>
      <c r="N39" s="425">
        <f t="shared" si="46"/>
        <v>0</v>
      </c>
      <c r="O39" s="443"/>
      <c r="P39" s="441"/>
      <c r="Q39" s="441"/>
      <c r="R39" s="441"/>
      <c r="S39" s="441"/>
      <c r="T39" s="442"/>
      <c r="U39" s="444">
        <f t="shared" si="44"/>
        <v>0</v>
      </c>
      <c r="V39" s="475">
        <f t="shared" si="45"/>
        <v>0</v>
      </c>
      <c r="W39" s="372"/>
    </row>
    <row r="40" spans="2:23" ht="13.5" thickBot="1" x14ac:dyDescent="0.25">
      <c r="B40" s="476" t="s">
        <v>119</v>
      </c>
      <c r="C40" s="477"/>
      <c r="D40" s="478"/>
      <c r="E40" s="479">
        <f t="shared" ref="E40:I40" si="47">SUM((E18+E23+E28+E33)*E35)</f>
        <v>0</v>
      </c>
      <c r="F40" s="479">
        <f t="shared" si="47"/>
        <v>0</v>
      </c>
      <c r="G40" s="479">
        <f t="shared" si="47"/>
        <v>0</v>
      </c>
      <c r="H40" s="479">
        <f t="shared" si="47"/>
        <v>0</v>
      </c>
      <c r="I40" s="479">
        <f t="shared" si="47"/>
        <v>0</v>
      </c>
      <c r="J40" s="479">
        <f>SUM((J18+J23+J28+J33)*J35)</f>
        <v>4</v>
      </c>
      <c r="K40" s="480">
        <f>SUM(E40:J40)</f>
        <v>4</v>
      </c>
      <c r="L40" s="479">
        <f>SUM((L18+L23+L28+L33)*L35)</f>
        <v>0</v>
      </c>
      <c r="M40" s="479">
        <f>SUM((M18+M23+M28+M33)*M35)</f>
        <v>0</v>
      </c>
      <c r="N40" s="480">
        <f>SUM(L40:M40)</f>
        <v>0</v>
      </c>
      <c r="O40" s="479">
        <f t="shared" ref="O40:T40" si="48">SUM(O18+O23+O28+O33)</f>
        <v>0</v>
      </c>
      <c r="P40" s="479">
        <f t="shared" si="48"/>
        <v>0</v>
      </c>
      <c r="Q40" s="479">
        <f t="shared" si="48"/>
        <v>0</v>
      </c>
      <c r="R40" s="479">
        <f t="shared" si="48"/>
        <v>0</v>
      </c>
      <c r="S40" s="479">
        <f t="shared" si="48"/>
        <v>0</v>
      </c>
      <c r="T40" s="481">
        <f t="shared" si="48"/>
        <v>0</v>
      </c>
      <c r="U40" s="482">
        <f>SUM(O40:T40)</f>
        <v>0</v>
      </c>
      <c r="V40" s="462">
        <f t="shared" si="45"/>
        <v>4</v>
      </c>
      <c r="W40" s="372"/>
    </row>
    <row r="41" spans="2:23" ht="6.75" customHeight="1" thickBot="1" x14ac:dyDescent="0.25">
      <c r="B41" s="289"/>
      <c r="C41" s="290"/>
      <c r="D41" s="290"/>
      <c r="E41" s="281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91"/>
      <c r="V41" s="1"/>
      <c r="W41" s="372"/>
    </row>
    <row r="42" spans="2:23" ht="14.25" customHeight="1" x14ac:dyDescent="0.2">
      <c r="B42" s="319" t="s">
        <v>101</v>
      </c>
      <c r="C42" s="286"/>
      <c r="D42" s="286"/>
      <c r="E42" s="287"/>
      <c r="F42" s="551"/>
      <c r="G42" s="288"/>
      <c r="H42" s="2"/>
      <c r="I42" s="2"/>
      <c r="J42" s="2"/>
      <c r="K42" s="2"/>
      <c r="L42" s="2"/>
      <c r="V42" s="1"/>
      <c r="W42" s="372"/>
    </row>
    <row r="43" spans="2:23" ht="14.25" customHeight="1" x14ac:dyDescent="0.2">
      <c r="B43" s="167" t="s">
        <v>121</v>
      </c>
      <c r="C43" s="112"/>
      <c r="D43" s="112"/>
      <c r="E43" s="553"/>
      <c r="F43" s="550">
        <v>0.5</v>
      </c>
      <c r="G43" s="263">
        <f>SUM(G88*F43)</f>
        <v>500</v>
      </c>
      <c r="H43" s="2"/>
      <c r="I43" s="2"/>
      <c r="J43" s="2"/>
      <c r="K43" s="2"/>
      <c r="L43" s="2"/>
      <c r="V43" s="1"/>
      <c r="W43" s="372"/>
    </row>
    <row r="44" spans="2:23" ht="14.25" customHeight="1" x14ac:dyDescent="0.2">
      <c r="B44" s="167" t="s">
        <v>102</v>
      </c>
      <c r="C44" s="114"/>
      <c r="D44" s="113"/>
      <c r="E44" s="552"/>
      <c r="F44" s="258" t="s">
        <v>122</v>
      </c>
      <c r="G44" s="263">
        <f>SUM(G88-G43)</f>
        <v>500</v>
      </c>
      <c r="H44" s="2"/>
      <c r="I44" s="2"/>
      <c r="J44" s="2"/>
      <c r="K44" s="2"/>
      <c r="L44" s="2"/>
      <c r="V44" s="1"/>
      <c r="W44" s="372"/>
    </row>
    <row r="45" spans="2:23" ht="14.25" customHeight="1" x14ac:dyDescent="0.2">
      <c r="B45" s="282"/>
      <c r="C45" s="314"/>
      <c r="D45" s="285"/>
      <c r="E45" s="139"/>
      <c r="F45" s="315"/>
      <c r="G45" s="316"/>
      <c r="H45" s="2"/>
      <c r="I45" s="2"/>
      <c r="J45" s="2"/>
      <c r="K45" s="2"/>
      <c r="L45" s="2"/>
      <c r="V45" s="1"/>
      <c r="W45" s="372"/>
    </row>
    <row r="46" spans="2:23" ht="14.25" customHeight="1" x14ac:dyDescent="0.2">
      <c r="B46" s="317" t="s">
        <v>187</v>
      </c>
      <c r="C46" s="283"/>
      <c r="D46" s="283"/>
      <c r="F46" s="141"/>
      <c r="G46" s="294"/>
      <c r="V46" s="1"/>
      <c r="W46" s="372"/>
    </row>
    <row r="47" spans="2:23" ht="14.25" customHeight="1" x14ac:dyDescent="0.2">
      <c r="B47" s="323" t="s">
        <v>45</v>
      </c>
      <c r="C47" s="324"/>
      <c r="D47" s="327"/>
      <c r="E47" s="299"/>
      <c r="F47" s="300"/>
      <c r="G47" s="321">
        <f>SUM(K15)</f>
        <v>1000</v>
      </c>
      <c r="V47" s="1"/>
      <c r="W47" s="372"/>
    </row>
    <row r="48" spans="2:23" ht="14.25" customHeight="1" x14ac:dyDescent="0.2">
      <c r="B48" s="325" t="s">
        <v>59</v>
      </c>
      <c r="C48" s="326"/>
      <c r="D48" s="326"/>
      <c r="E48" s="296"/>
      <c r="F48" s="297"/>
      <c r="G48" s="322">
        <f>SUM(K16)</f>
        <v>800</v>
      </c>
      <c r="V48" s="1"/>
      <c r="W48" s="372"/>
    </row>
    <row r="49" spans="2:23" ht="14.25" customHeight="1" x14ac:dyDescent="0.2">
      <c r="B49" s="323" t="s">
        <v>46</v>
      </c>
      <c r="C49" s="324"/>
      <c r="D49" s="327"/>
      <c r="E49" s="302"/>
      <c r="F49" s="303"/>
      <c r="G49" s="321">
        <f>SUM(K20)</f>
        <v>0</v>
      </c>
      <c r="V49" s="1"/>
      <c r="W49" s="372"/>
    </row>
    <row r="50" spans="2:23" ht="14.25" customHeight="1" x14ac:dyDescent="0.2">
      <c r="B50" s="325" t="s">
        <v>47</v>
      </c>
      <c r="C50" s="326"/>
      <c r="D50" s="326"/>
      <c r="E50" s="296"/>
      <c r="F50" s="307"/>
      <c r="G50" s="322">
        <f>SUM(K21)</f>
        <v>0</v>
      </c>
      <c r="V50" s="1"/>
      <c r="W50" s="372"/>
    </row>
    <row r="51" spans="2:23" ht="14.25" customHeight="1" x14ac:dyDescent="0.2">
      <c r="B51" s="323" t="s">
        <v>218</v>
      </c>
      <c r="C51" s="324"/>
      <c r="D51" s="327"/>
      <c r="E51" s="302"/>
      <c r="F51" s="303"/>
      <c r="G51" s="321">
        <f>SUM(K25)</f>
        <v>0</v>
      </c>
      <c r="V51" s="1"/>
      <c r="W51" s="372"/>
    </row>
    <row r="52" spans="2:23" ht="13.5" customHeight="1" x14ac:dyDescent="0.2">
      <c r="B52" s="325" t="s">
        <v>219</v>
      </c>
      <c r="C52" s="326"/>
      <c r="D52" s="326"/>
      <c r="E52" s="296"/>
      <c r="F52" s="307"/>
      <c r="G52" s="322">
        <f>K26</f>
        <v>0</v>
      </c>
      <c r="V52" s="1"/>
      <c r="W52" s="372"/>
    </row>
    <row r="53" spans="2:23" ht="14.25" customHeight="1" x14ac:dyDescent="0.2">
      <c r="B53" s="323" t="s">
        <v>77</v>
      </c>
      <c r="C53" s="324"/>
      <c r="D53" s="327"/>
      <c r="E53" s="302"/>
      <c r="F53" s="304"/>
      <c r="G53" s="321">
        <f>SUM(K30)</f>
        <v>0</v>
      </c>
      <c r="V53" s="1"/>
      <c r="W53" s="372"/>
    </row>
    <row r="54" spans="2:23" ht="14.25" customHeight="1" x14ac:dyDescent="0.2">
      <c r="B54" s="325" t="s">
        <v>78</v>
      </c>
      <c r="C54" s="326"/>
      <c r="D54" s="326"/>
      <c r="E54" s="308"/>
      <c r="F54" s="320"/>
      <c r="G54" s="322">
        <f>SUM(K31)</f>
        <v>0</v>
      </c>
      <c r="V54" s="1"/>
      <c r="W54" s="372"/>
    </row>
    <row r="55" spans="2:23" ht="14.25" customHeight="1" x14ac:dyDescent="0.2">
      <c r="B55" s="483" t="s">
        <v>57</v>
      </c>
      <c r="C55" s="324"/>
      <c r="D55" s="327"/>
      <c r="E55" s="302"/>
      <c r="F55" s="305"/>
      <c r="G55" s="301">
        <f>G47+G49+G51+G53</f>
        <v>1000</v>
      </c>
      <c r="V55" s="1"/>
      <c r="W55" s="372"/>
    </row>
    <row r="56" spans="2:23" ht="14.25" customHeight="1" x14ac:dyDescent="0.2">
      <c r="B56" s="484" t="s">
        <v>58</v>
      </c>
      <c r="C56" s="326"/>
      <c r="D56" s="326"/>
      <c r="E56" s="308"/>
      <c r="F56" s="309"/>
      <c r="G56" s="298">
        <f>G48+G50+G54+G52</f>
        <v>800</v>
      </c>
      <c r="V56" s="1"/>
      <c r="W56" s="372"/>
    </row>
    <row r="57" spans="2:23" ht="14.25" customHeight="1" x14ac:dyDescent="0.2">
      <c r="B57" s="318" t="s">
        <v>186</v>
      </c>
      <c r="C57" s="112"/>
      <c r="D57" s="112"/>
      <c r="E57" s="280"/>
      <c r="F57" s="266"/>
      <c r="G57" s="295"/>
      <c r="V57" s="1"/>
      <c r="W57" s="372"/>
    </row>
    <row r="58" spans="2:23" ht="14.25" customHeight="1" x14ac:dyDescent="0.2">
      <c r="B58" s="323" t="s">
        <v>180</v>
      </c>
      <c r="C58" s="324"/>
      <c r="D58" s="327"/>
      <c r="E58" s="302"/>
      <c r="F58" s="305"/>
      <c r="G58" s="321">
        <f>N15</f>
        <v>0</v>
      </c>
      <c r="V58" s="1"/>
      <c r="W58" s="372"/>
    </row>
    <row r="59" spans="2:23" ht="14.25" customHeight="1" x14ac:dyDescent="0.2">
      <c r="B59" s="325" t="s">
        <v>181</v>
      </c>
      <c r="C59" s="326"/>
      <c r="D59" s="326"/>
      <c r="E59" s="296"/>
      <c r="F59" s="310"/>
      <c r="G59" s="322">
        <f>N16</f>
        <v>0</v>
      </c>
      <c r="V59" s="1"/>
      <c r="W59" s="372"/>
    </row>
    <row r="60" spans="2:23" ht="14.25" customHeight="1" x14ac:dyDescent="0.2">
      <c r="B60" s="323" t="s">
        <v>182</v>
      </c>
      <c r="C60" s="324"/>
      <c r="D60" s="327"/>
      <c r="E60" s="302"/>
      <c r="F60" s="305"/>
      <c r="G60" s="321">
        <f>N20</f>
        <v>0</v>
      </c>
      <c r="V60" s="1"/>
      <c r="W60" s="372"/>
    </row>
    <row r="61" spans="2:23" ht="14.25" customHeight="1" x14ac:dyDescent="0.2">
      <c r="B61" s="325" t="s">
        <v>183</v>
      </c>
      <c r="C61" s="326"/>
      <c r="D61" s="326"/>
      <c r="E61" s="296"/>
      <c r="F61" s="310"/>
      <c r="G61" s="322">
        <f>N21</f>
        <v>0</v>
      </c>
      <c r="V61" s="1"/>
      <c r="W61" s="372"/>
    </row>
    <row r="62" spans="2:23" ht="14.25" customHeight="1" x14ac:dyDescent="0.2">
      <c r="B62" s="323" t="s">
        <v>220</v>
      </c>
      <c r="C62" s="324"/>
      <c r="D62" s="327"/>
      <c r="E62" s="302"/>
      <c r="F62" s="305"/>
      <c r="G62" s="321">
        <f>N25</f>
        <v>0</v>
      </c>
      <c r="V62" s="1"/>
      <c r="W62" s="372"/>
    </row>
    <row r="63" spans="2:23" ht="14.25" customHeight="1" x14ac:dyDescent="0.25">
      <c r="B63" s="325" t="s">
        <v>221</v>
      </c>
      <c r="C63" s="326"/>
      <c r="D63" s="326"/>
      <c r="E63" s="296"/>
      <c r="F63" s="310"/>
      <c r="G63" s="322">
        <f>N26</f>
        <v>0</v>
      </c>
      <c r="P63" s="369"/>
      <c r="V63" s="1"/>
      <c r="W63" s="372"/>
    </row>
    <row r="64" spans="2:23" ht="14.25" customHeight="1" x14ac:dyDescent="0.2">
      <c r="B64" s="323" t="s">
        <v>184</v>
      </c>
      <c r="C64" s="324"/>
      <c r="D64" s="327"/>
      <c r="E64" s="302"/>
      <c r="F64" s="305"/>
      <c r="G64" s="321">
        <f>N30</f>
        <v>0</v>
      </c>
      <c r="V64" s="1"/>
      <c r="W64" s="372"/>
    </row>
    <row r="65" spans="2:23" ht="14.25" customHeight="1" x14ac:dyDescent="0.2">
      <c r="B65" s="325" t="s">
        <v>185</v>
      </c>
      <c r="C65" s="326"/>
      <c r="D65" s="326"/>
      <c r="E65" s="308"/>
      <c r="F65" s="309"/>
      <c r="G65" s="322">
        <f>N31</f>
        <v>0</v>
      </c>
      <c r="V65" s="1"/>
      <c r="W65" s="372"/>
    </row>
    <row r="66" spans="2:23" ht="14.25" customHeight="1" x14ac:dyDescent="0.2">
      <c r="B66" s="483" t="s">
        <v>194</v>
      </c>
      <c r="C66" s="324"/>
      <c r="D66" s="327"/>
      <c r="E66" s="306"/>
      <c r="F66" s="332"/>
      <c r="G66" s="301">
        <f>G58+G60+G64+G62</f>
        <v>0</v>
      </c>
      <c r="V66" s="1"/>
      <c r="W66" s="372"/>
    </row>
    <row r="67" spans="2:23" ht="14.25" customHeight="1" x14ac:dyDescent="0.2">
      <c r="B67" s="484" t="s">
        <v>193</v>
      </c>
      <c r="C67" s="326"/>
      <c r="D67" s="328"/>
      <c r="E67" s="311"/>
      <c r="F67" s="309"/>
      <c r="G67" s="298">
        <f>G59+G61+G65+G63</f>
        <v>0</v>
      </c>
      <c r="V67" s="1"/>
      <c r="W67" s="372"/>
    </row>
    <row r="68" spans="2:23" ht="14.25" customHeight="1" x14ac:dyDescent="0.2">
      <c r="B68" s="318" t="s">
        <v>116</v>
      </c>
      <c r="C68" s="112"/>
      <c r="D68" s="112"/>
      <c r="E68" s="280"/>
      <c r="F68" s="266"/>
      <c r="G68" s="168">
        <f>SUM(IFERROR(K18,0)+IFERROR(K23,0)+IFERROR(N23,0)+IFERROR(N33,0)+IFERROR(K33,0)+IFERROR(K28,0)+IFERROR(N28,0)+IFERROR(N18,0))</f>
        <v>8</v>
      </c>
      <c r="V68" s="1"/>
      <c r="W68" s="372"/>
    </row>
    <row r="69" spans="2:23" ht="14.25" customHeight="1" x14ac:dyDescent="0.2">
      <c r="B69" s="329" t="s">
        <v>191</v>
      </c>
      <c r="C69" s="330"/>
      <c r="D69" s="331"/>
      <c r="E69" s="306"/>
      <c r="F69" s="305"/>
      <c r="G69" s="321">
        <f>SUM(IFERROR(S30,0)+IFERROR(S15,U562)+IFERROR(S25,0)+IFERROR(S20,0))</f>
        <v>0</v>
      </c>
      <c r="V69" s="1"/>
      <c r="W69" s="372"/>
    </row>
    <row r="70" spans="2:23" ht="14.25" customHeight="1" x14ac:dyDescent="0.2">
      <c r="B70" s="325" t="s">
        <v>189</v>
      </c>
      <c r="C70" s="326"/>
      <c r="D70" s="328"/>
      <c r="E70" s="311"/>
      <c r="F70" s="310"/>
      <c r="G70" s="322">
        <f>SUM(IFERROR(S31,0)+IFERROR(S16,U563)+IFERROR(S21,0)+IFERROR(S26,0))</f>
        <v>0</v>
      </c>
      <c r="V70" s="1"/>
      <c r="W70" s="372"/>
    </row>
    <row r="71" spans="2:23" ht="14.25" customHeight="1" x14ac:dyDescent="0.2">
      <c r="B71" s="323" t="s">
        <v>192</v>
      </c>
      <c r="C71" s="324"/>
      <c r="D71" s="327"/>
      <c r="E71" s="306"/>
      <c r="F71" s="305"/>
      <c r="G71" s="321">
        <f>SUM(IFERROR(T30,0)+IFERROR(T15,U564)+IFERROR(T20,0)+IFERROR(T25,0))</f>
        <v>0</v>
      </c>
      <c r="V71" s="1"/>
      <c r="W71" s="372"/>
    </row>
    <row r="72" spans="2:23" ht="14.25" customHeight="1" x14ac:dyDescent="0.2">
      <c r="B72" s="325" t="s">
        <v>190</v>
      </c>
      <c r="C72" s="326"/>
      <c r="D72" s="328"/>
      <c r="E72" s="308"/>
      <c r="F72" s="309"/>
      <c r="G72" s="322">
        <f>SUM(IFERROR(T31,0)+IFERROR(T16,U565)+IFERROR(T21,0)+IFERROR(T26,0))</f>
        <v>0</v>
      </c>
      <c r="V72" s="1"/>
      <c r="W72" s="372"/>
    </row>
    <row r="73" spans="2:23" ht="14.25" customHeight="1" x14ac:dyDescent="0.2">
      <c r="B73" s="323" t="s">
        <v>151</v>
      </c>
      <c r="C73" s="324"/>
      <c r="D73" s="327"/>
      <c r="E73" s="306"/>
      <c r="F73" s="305"/>
      <c r="G73" s="321">
        <f>SUM(IFERROR(O30,0)+IFERROR(O15,U560)+IFERROR(O20,0)+IFERROR(O25,0))</f>
        <v>0</v>
      </c>
      <c r="V73" s="1"/>
      <c r="W73" s="372"/>
    </row>
    <row r="74" spans="2:23" ht="14.25" customHeight="1" x14ac:dyDescent="0.2">
      <c r="B74" s="325" t="s">
        <v>152</v>
      </c>
      <c r="C74" s="326"/>
      <c r="D74" s="328"/>
      <c r="E74" s="296"/>
      <c r="F74" s="310"/>
      <c r="G74" s="322">
        <f>SUM(IFERROR(O31,0)+IFERROR(O16,U561)+IFERROR(O21,0)+IFERROR(O26,0))</f>
        <v>0</v>
      </c>
      <c r="V74" s="1"/>
      <c r="W74" s="372"/>
    </row>
    <row r="75" spans="2:23" ht="14.25" customHeight="1" x14ac:dyDescent="0.2">
      <c r="B75" s="336" t="s">
        <v>199</v>
      </c>
      <c r="C75" s="337"/>
      <c r="D75" s="112"/>
      <c r="E75" s="280"/>
      <c r="F75" s="266"/>
      <c r="G75" s="168">
        <f>G55+G66+G69+G71+G73</f>
        <v>1000</v>
      </c>
      <c r="V75" s="1"/>
      <c r="W75" s="372"/>
    </row>
    <row r="76" spans="2:23" ht="14.25" customHeight="1" x14ac:dyDescent="0.2">
      <c r="B76" s="338"/>
      <c r="C76" s="290"/>
      <c r="D76" s="290"/>
      <c r="F76" s="140"/>
      <c r="G76" s="295"/>
      <c r="V76" s="1"/>
      <c r="W76" s="372"/>
    </row>
    <row r="77" spans="2:23" ht="14.25" customHeight="1" x14ac:dyDescent="0.2">
      <c r="B77" s="317" t="s">
        <v>188</v>
      </c>
      <c r="C77" s="283"/>
      <c r="D77" s="283"/>
      <c r="E77" s="141"/>
      <c r="F77" s="284"/>
      <c r="G77" s="294"/>
      <c r="V77" s="1"/>
      <c r="W77" s="372"/>
    </row>
    <row r="78" spans="2:23" ht="14.25" customHeight="1" x14ac:dyDescent="0.2">
      <c r="B78" s="323" t="s">
        <v>150</v>
      </c>
      <c r="C78" s="324"/>
      <c r="D78" s="327"/>
      <c r="E78" s="306"/>
      <c r="F78" s="305"/>
      <c r="G78" s="301">
        <f>SUM(IFERROR(Q15,0)+IFERROR(Q20,0))</f>
        <v>0</v>
      </c>
      <c r="V78" s="1"/>
      <c r="W78" s="372"/>
    </row>
    <row r="79" spans="2:23" ht="14.25" customHeight="1" x14ac:dyDescent="0.2">
      <c r="B79" s="325" t="s">
        <v>153</v>
      </c>
      <c r="C79" s="326"/>
      <c r="D79" s="328"/>
      <c r="E79" s="296"/>
      <c r="F79" s="310"/>
      <c r="G79" s="298">
        <f>SUM(IFERROR(Q16,0)+IFERROR(Q21,0))</f>
        <v>0</v>
      </c>
      <c r="V79" s="1"/>
      <c r="W79" s="372"/>
    </row>
    <row r="80" spans="2:23" ht="14.25" customHeight="1" x14ac:dyDescent="0.2">
      <c r="B80" s="323" t="s">
        <v>155</v>
      </c>
      <c r="C80" s="324"/>
      <c r="D80" s="327"/>
      <c r="E80" s="306"/>
      <c r="F80" s="305"/>
      <c r="G80" s="301">
        <f>SUM(IFERROR(P15,0)+IFERROR(P20,0))</f>
        <v>0</v>
      </c>
      <c r="V80" s="1"/>
      <c r="W80" s="372"/>
    </row>
    <row r="81" spans="2:23" ht="14.25" customHeight="1" x14ac:dyDescent="0.2">
      <c r="B81" s="325" t="s">
        <v>156</v>
      </c>
      <c r="C81" s="326"/>
      <c r="D81" s="328"/>
      <c r="E81" s="296"/>
      <c r="F81" s="310"/>
      <c r="G81" s="298">
        <f>SUM(IFERROR(P16,0)+IFERROR(P21,0))</f>
        <v>0</v>
      </c>
      <c r="V81" s="1"/>
      <c r="W81" s="372"/>
    </row>
    <row r="82" spans="2:23" ht="14.25" customHeight="1" x14ac:dyDescent="0.2">
      <c r="B82" s="323" t="s">
        <v>230</v>
      </c>
      <c r="C82" s="324"/>
      <c r="D82" s="327"/>
      <c r="E82" s="306"/>
      <c r="F82" s="305"/>
      <c r="G82" s="301">
        <f>SUM(+IFERROR(R17,0)+IFERROR(R22,0))</f>
        <v>1</v>
      </c>
      <c r="V82" s="1"/>
      <c r="W82" s="372"/>
    </row>
    <row r="83" spans="2:23" ht="14.25" customHeight="1" x14ac:dyDescent="0.2">
      <c r="B83" s="325" t="s">
        <v>231</v>
      </c>
      <c r="C83" s="326"/>
      <c r="D83" s="328"/>
      <c r="E83" s="296"/>
      <c r="F83" s="310"/>
      <c r="G83" s="298">
        <f>SUM(IFERROR(R16,0)+IFERROR(R21,0))</f>
        <v>1000</v>
      </c>
      <c r="V83" s="1"/>
      <c r="W83" s="372"/>
    </row>
    <row r="84" spans="2:23" ht="14.25" customHeight="1" x14ac:dyDescent="0.2">
      <c r="B84" s="336" t="s">
        <v>200</v>
      </c>
      <c r="C84" s="337"/>
      <c r="D84" s="112"/>
      <c r="E84" s="280"/>
      <c r="F84" s="266"/>
      <c r="G84" s="168">
        <f>SUM(G78+G80+G82)</f>
        <v>1</v>
      </c>
      <c r="V84" s="1"/>
      <c r="W84" s="372"/>
    </row>
    <row r="85" spans="2:23" ht="14.25" customHeight="1" x14ac:dyDescent="0.2">
      <c r="B85" s="282"/>
      <c r="C85" s="290"/>
      <c r="D85" s="290"/>
      <c r="F85" s="140"/>
      <c r="G85" s="295"/>
      <c r="V85" s="1"/>
      <c r="W85" s="372"/>
    </row>
    <row r="86" spans="2:23" ht="14.25" customHeight="1" x14ac:dyDescent="0.2">
      <c r="B86" s="317" t="s">
        <v>52</v>
      </c>
      <c r="C86" s="283"/>
      <c r="D86" s="283"/>
      <c r="F86" s="284"/>
      <c r="G86" s="294"/>
      <c r="V86" s="1"/>
      <c r="W86" s="372"/>
    </row>
    <row r="87" spans="2:23" ht="14.25" customHeight="1" x14ac:dyDescent="0.2">
      <c r="B87" s="167" t="s">
        <v>98</v>
      </c>
      <c r="C87" s="112"/>
      <c r="D87" s="112"/>
      <c r="E87" s="142"/>
      <c r="F87" s="143"/>
      <c r="G87" s="263">
        <v>0</v>
      </c>
      <c r="I87" s="4"/>
      <c r="V87" s="1"/>
      <c r="W87" s="372"/>
    </row>
    <row r="88" spans="2:23" ht="13.5" thickBot="1" x14ac:dyDescent="0.25">
      <c r="B88" s="292" t="s">
        <v>61</v>
      </c>
      <c r="C88" s="293"/>
      <c r="D88" s="293"/>
      <c r="E88" s="312"/>
      <c r="F88" s="313"/>
      <c r="G88" s="549">
        <v>1000</v>
      </c>
      <c r="I88" s="4"/>
      <c r="V88" s="1"/>
      <c r="W88" s="372"/>
    </row>
    <row r="89" spans="2:23" ht="6" customHeight="1" thickBot="1" x14ac:dyDescent="0.25">
      <c r="F89" s="169"/>
      <c r="G89" s="169"/>
      <c r="H89" s="2"/>
      <c r="I89" s="2"/>
      <c r="J89" s="2"/>
      <c r="K89" s="2"/>
      <c r="L89" s="2"/>
      <c r="M89" s="2"/>
      <c r="V89" s="1"/>
      <c r="W89" s="372"/>
    </row>
    <row r="90" spans="2:23" s="5" customFormat="1" ht="27" customHeight="1" x14ac:dyDescent="0.2">
      <c r="B90" s="156"/>
      <c r="C90" s="157" t="s">
        <v>39</v>
      </c>
      <c r="D90" s="158"/>
      <c r="E90" s="158"/>
      <c r="F90" s="9"/>
      <c r="G90" s="166"/>
      <c r="H90" s="1"/>
      <c r="I90" s="1"/>
      <c r="J90" s="2"/>
      <c r="K90" s="2"/>
      <c r="L90" s="2"/>
      <c r="M90" s="2"/>
      <c r="N90" s="1"/>
      <c r="O90" s="1"/>
      <c r="P90" s="1"/>
      <c r="Q90" s="1"/>
      <c r="R90" s="1"/>
      <c r="S90" s="1"/>
      <c r="T90" s="1"/>
      <c r="U90" s="1"/>
      <c r="W90" s="375"/>
    </row>
    <row r="91" spans="2:23" s="5" customFormat="1" ht="33" customHeight="1" x14ac:dyDescent="0.2">
      <c r="B91" s="159"/>
      <c r="C91" s="115" t="s">
        <v>60</v>
      </c>
      <c r="D91" s="116"/>
      <c r="E91" s="116"/>
      <c r="F91" s="564">
        <f>Opbrengsten!L82</f>
        <v>3275785.1239669421</v>
      </c>
      <c r="G91" s="565"/>
      <c r="W91" s="375"/>
    </row>
    <row r="92" spans="2:23" ht="33" customHeight="1" thickBot="1" x14ac:dyDescent="0.25">
      <c r="B92" s="160"/>
      <c r="C92" s="161" t="s">
        <v>73</v>
      </c>
      <c r="D92" s="162"/>
      <c r="E92" s="162"/>
      <c r="F92" s="560">
        <f>Stichtingskosten!I102</f>
        <v>2329773.0282873004</v>
      </c>
      <c r="G92" s="561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1"/>
      <c r="W92" s="372"/>
    </row>
    <row r="93" spans="2:23" s="5" customFormat="1" ht="6" customHeight="1" thickBot="1" x14ac:dyDescent="0.25">
      <c r="B93" s="1"/>
      <c r="C93" s="1"/>
      <c r="D93" s="1"/>
      <c r="E93" s="1"/>
      <c r="F93" s="144"/>
      <c r="G93" s="1"/>
      <c r="H93" s="2"/>
      <c r="I93" s="2"/>
      <c r="J93" s="2"/>
      <c r="K93" s="2"/>
      <c r="L93" s="2"/>
      <c r="M93" s="2"/>
      <c r="N93" s="1"/>
      <c r="O93" s="1"/>
      <c r="P93" s="1"/>
      <c r="Q93" s="1"/>
      <c r="R93" s="1"/>
      <c r="S93" s="1"/>
      <c r="T93" s="1"/>
      <c r="U93" s="1"/>
      <c r="W93" s="375"/>
    </row>
    <row r="94" spans="2:23" ht="13.5" thickBot="1" x14ac:dyDescent="0.25">
      <c r="B94" s="163"/>
      <c r="C94" s="164" t="s">
        <v>74</v>
      </c>
      <c r="D94" s="165"/>
      <c r="E94" s="165"/>
      <c r="F94" s="562">
        <f>F91-F92</f>
        <v>946012.0956796417</v>
      </c>
      <c r="G94" s="563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W94" s="372"/>
    </row>
    <row r="95" spans="2:23" x14ac:dyDescent="0.2">
      <c r="W95" s="372"/>
    </row>
    <row r="96" spans="2:23" x14ac:dyDescent="0.2">
      <c r="W96" s="372"/>
    </row>
    <row r="97" spans="22:23" x14ac:dyDescent="0.2">
      <c r="W97" s="372"/>
    </row>
    <row r="98" spans="22:23" x14ac:dyDescent="0.2">
      <c r="W98" s="372"/>
    </row>
    <row r="99" spans="22:23" x14ac:dyDescent="0.2">
      <c r="V99" s="1"/>
      <c r="W99" s="372"/>
    </row>
    <row r="100" spans="22:23" x14ac:dyDescent="0.2">
      <c r="V100" s="1"/>
      <c r="W100" s="372"/>
    </row>
    <row r="101" spans="22:23" x14ac:dyDescent="0.2">
      <c r="V101" s="1"/>
      <c r="W101" s="372"/>
    </row>
    <row r="102" spans="22:23" x14ac:dyDescent="0.2">
      <c r="V102" s="1"/>
      <c r="W102" s="372"/>
    </row>
    <row r="103" spans="22:23" x14ac:dyDescent="0.2">
      <c r="V103" s="1"/>
      <c r="W103" s="372"/>
    </row>
    <row r="104" spans="22:23" x14ac:dyDescent="0.2">
      <c r="V104" s="1"/>
      <c r="W104" s="372"/>
    </row>
    <row r="105" spans="22:23" x14ac:dyDescent="0.2">
      <c r="V105" s="1"/>
      <c r="W105" s="372"/>
    </row>
    <row r="106" spans="22:23" x14ac:dyDescent="0.2">
      <c r="V106" s="1"/>
      <c r="W106" s="372"/>
    </row>
    <row r="107" spans="22:23" x14ac:dyDescent="0.2">
      <c r="V107" s="1"/>
      <c r="W107" s="372"/>
    </row>
    <row r="108" spans="22:23" x14ac:dyDescent="0.2">
      <c r="V108" s="1"/>
      <c r="W108" s="372"/>
    </row>
    <row r="109" spans="22:23" x14ac:dyDescent="0.2">
      <c r="V109" s="1"/>
      <c r="W109" s="372"/>
    </row>
    <row r="110" spans="22:23" x14ac:dyDescent="0.2">
      <c r="V110" s="1"/>
      <c r="W110" s="372"/>
    </row>
    <row r="111" spans="22:23" x14ac:dyDescent="0.2">
      <c r="V111" s="1"/>
      <c r="W111" s="372"/>
    </row>
    <row r="112" spans="22:23" x14ac:dyDescent="0.2">
      <c r="V112" s="1"/>
      <c r="W112" s="372"/>
    </row>
    <row r="113" spans="22:23" x14ac:dyDescent="0.2">
      <c r="V113" s="1"/>
      <c r="W113" s="372"/>
    </row>
    <row r="114" spans="22:23" x14ac:dyDescent="0.2">
      <c r="V114" s="1"/>
      <c r="W114" s="372"/>
    </row>
    <row r="115" spans="22:23" x14ac:dyDescent="0.2">
      <c r="V115" s="1"/>
      <c r="W115" s="372"/>
    </row>
    <row r="116" spans="22:23" x14ac:dyDescent="0.2">
      <c r="V116" s="1"/>
      <c r="W116" s="372"/>
    </row>
    <row r="117" spans="22:23" x14ac:dyDescent="0.2">
      <c r="V117" s="1"/>
      <c r="W117" s="372"/>
    </row>
    <row r="118" spans="22:23" x14ac:dyDescent="0.2">
      <c r="V118" s="1"/>
      <c r="W118" s="372"/>
    </row>
    <row r="119" spans="22:23" x14ac:dyDescent="0.2">
      <c r="V119" s="1"/>
      <c r="W119" s="372"/>
    </row>
    <row r="120" spans="22:23" x14ac:dyDescent="0.2">
      <c r="V120" s="1"/>
      <c r="W120" s="372"/>
    </row>
    <row r="121" spans="22:23" x14ac:dyDescent="0.2">
      <c r="V121" s="1"/>
      <c r="W121" s="372"/>
    </row>
    <row r="122" spans="22:23" x14ac:dyDescent="0.2">
      <c r="V122" s="1"/>
      <c r="W122" s="372"/>
    </row>
    <row r="123" spans="22:23" x14ac:dyDescent="0.2">
      <c r="V123" s="1"/>
      <c r="W123" s="372"/>
    </row>
    <row r="124" spans="22:23" x14ac:dyDescent="0.2">
      <c r="V124" s="1"/>
      <c r="W124" s="372"/>
    </row>
    <row r="125" spans="22:23" x14ac:dyDescent="0.2">
      <c r="V125" s="1"/>
      <c r="W125" s="372"/>
    </row>
    <row r="126" spans="22:23" x14ac:dyDescent="0.2">
      <c r="V126" s="1"/>
      <c r="W126" s="372"/>
    </row>
    <row r="127" spans="22:23" x14ac:dyDescent="0.2">
      <c r="V127" s="1"/>
      <c r="W127" s="372"/>
    </row>
    <row r="128" spans="22:23" x14ac:dyDescent="0.2">
      <c r="V128" s="1"/>
      <c r="W128" s="372"/>
    </row>
    <row r="129" spans="22:23" x14ac:dyDescent="0.2">
      <c r="V129" s="1"/>
      <c r="W129" s="372"/>
    </row>
    <row r="130" spans="22:23" x14ac:dyDescent="0.2">
      <c r="V130" s="1"/>
      <c r="W130" s="372"/>
    </row>
    <row r="131" spans="22:23" x14ac:dyDescent="0.2">
      <c r="V131" s="1"/>
      <c r="W131" s="372"/>
    </row>
    <row r="132" spans="22:23" x14ac:dyDescent="0.2">
      <c r="V132" s="1"/>
      <c r="W132" s="372"/>
    </row>
    <row r="133" spans="22:23" x14ac:dyDescent="0.2">
      <c r="V133" s="1"/>
      <c r="W133" s="372"/>
    </row>
    <row r="134" spans="22:23" x14ac:dyDescent="0.2">
      <c r="V134" s="1"/>
      <c r="W134" s="372"/>
    </row>
    <row r="135" spans="22:23" x14ac:dyDescent="0.2">
      <c r="V135" s="1"/>
      <c r="W135" s="372"/>
    </row>
    <row r="136" spans="22:23" x14ac:dyDescent="0.2">
      <c r="V136" s="1"/>
      <c r="W136" s="372"/>
    </row>
    <row r="137" spans="22:23" x14ac:dyDescent="0.2">
      <c r="V137" s="1"/>
      <c r="W137" s="372"/>
    </row>
    <row r="138" spans="22:23" x14ac:dyDescent="0.2">
      <c r="V138" s="1"/>
      <c r="W138" s="372"/>
    </row>
    <row r="139" spans="22:23" x14ac:dyDescent="0.2">
      <c r="V139" s="1"/>
      <c r="W139" s="372"/>
    </row>
    <row r="140" spans="22:23" x14ac:dyDescent="0.2">
      <c r="V140" s="1"/>
      <c r="W140" s="372"/>
    </row>
    <row r="141" spans="22:23" x14ac:dyDescent="0.2">
      <c r="V141" s="1"/>
      <c r="W141" s="372"/>
    </row>
    <row r="142" spans="22:23" x14ac:dyDescent="0.2">
      <c r="V142" s="1"/>
      <c r="W142" s="372"/>
    </row>
    <row r="143" spans="22:23" x14ac:dyDescent="0.2">
      <c r="V143" s="1"/>
      <c r="W143" s="372"/>
    </row>
    <row r="144" spans="22:23" x14ac:dyDescent="0.2">
      <c r="V144" s="1"/>
      <c r="W144" s="372"/>
    </row>
    <row r="145" spans="22:23" x14ac:dyDescent="0.2">
      <c r="V145" s="1"/>
      <c r="W145" s="372"/>
    </row>
    <row r="146" spans="22:23" x14ac:dyDescent="0.2">
      <c r="V146" s="1"/>
      <c r="W146" s="372"/>
    </row>
    <row r="147" spans="22:23" x14ac:dyDescent="0.2">
      <c r="V147" s="1"/>
      <c r="W147" s="372"/>
    </row>
    <row r="148" spans="22:23" x14ac:dyDescent="0.2">
      <c r="V148" s="1"/>
      <c r="W148" s="372"/>
    </row>
    <row r="149" spans="22:23" x14ac:dyDescent="0.2">
      <c r="V149" s="1"/>
      <c r="W149" s="372"/>
    </row>
    <row r="150" spans="22:23" x14ac:dyDescent="0.2">
      <c r="V150" s="1"/>
      <c r="W150" s="372"/>
    </row>
    <row r="151" spans="22:23" x14ac:dyDescent="0.2">
      <c r="V151" s="1"/>
      <c r="W151" s="372"/>
    </row>
    <row r="152" spans="22:23" x14ac:dyDescent="0.2">
      <c r="V152" s="1"/>
      <c r="W152" s="372"/>
    </row>
    <row r="153" spans="22:23" x14ac:dyDescent="0.2">
      <c r="V153" s="1"/>
      <c r="W153" s="372"/>
    </row>
    <row r="154" spans="22:23" x14ac:dyDescent="0.2">
      <c r="V154" s="1"/>
      <c r="W154" s="372"/>
    </row>
    <row r="155" spans="22:23" x14ac:dyDescent="0.2">
      <c r="V155" s="1"/>
      <c r="W155" s="372"/>
    </row>
    <row r="156" spans="22:23" x14ac:dyDescent="0.2">
      <c r="V156" s="1"/>
      <c r="W156" s="372"/>
    </row>
    <row r="157" spans="22:23" x14ac:dyDescent="0.2">
      <c r="V157" s="1"/>
      <c r="W157" s="372"/>
    </row>
    <row r="158" spans="22:23" x14ac:dyDescent="0.2">
      <c r="V158" s="1"/>
      <c r="W158" s="372"/>
    </row>
    <row r="159" spans="22:23" x14ac:dyDescent="0.2">
      <c r="V159" s="1"/>
      <c r="W159" s="372"/>
    </row>
    <row r="160" spans="22:23" x14ac:dyDescent="0.2">
      <c r="V160" s="1"/>
      <c r="W160" s="372"/>
    </row>
    <row r="161" spans="22:23" x14ac:dyDescent="0.2">
      <c r="V161" s="1"/>
      <c r="W161" s="372"/>
    </row>
    <row r="162" spans="22:23" x14ac:dyDescent="0.2">
      <c r="V162" s="1"/>
      <c r="W162" s="372"/>
    </row>
    <row r="163" spans="22:23" x14ac:dyDescent="0.2">
      <c r="V163" s="1"/>
      <c r="W163" s="372"/>
    </row>
    <row r="164" spans="22:23" x14ac:dyDescent="0.2">
      <c r="V164" s="1"/>
      <c r="W164" s="372"/>
    </row>
    <row r="165" spans="22:23" x14ac:dyDescent="0.2">
      <c r="V165" s="1"/>
      <c r="W165" s="372"/>
    </row>
    <row r="166" spans="22:23" x14ac:dyDescent="0.2">
      <c r="V166" s="1"/>
      <c r="W166" s="372"/>
    </row>
    <row r="167" spans="22:23" x14ac:dyDescent="0.2">
      <c r="V167" s="1"/>
      <c r="W167" s="372"/>
    </row>
    <row r="168" spans="22:23" x14ac:dyDescent="0.2">
      <c r="V168" s="1"/>
      <c r="W168" s="372"/>
    </row>
    <row r="169" spans="22:23" x14ac:dyDescent="0.2">
      <c r="V169" s="1"/>
      <c r="W169" s="372"/>
    </row>
    <row r="170" spans="22:23" x14ac:dyDescent="0.2">
      <c r="V170" s="1"/>
      <c r="W170" s="372"/>
    </row>
    <row r="171" spans="22:23" x14ac:dyDescent="0.2">
      <c r="V171" s="1"/>
      <c r="W171" s="372"/>
    </row>
    <row r="172" spans="22:23" x14ac:dyDescent="0.2">
      <c r="V172" s="1"/>
      <c r="W172" s="372"/>
    </row>
  </sheetData>
  <mergeCells count="3">
    <mergeCell ref="F92:G92"/>
    <mergeCell ref="F94:G94"/>
    <mergeCell ref="F91:G91"/>
  </mergeCells>
  <pageMargins left="0.25" right="0.25" top="0.75" bottom="0.75" header="0.3" footer="0.3"/>
  <pageSetup paperSize="8" scale="74" fitToWidth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fitToPage="1"/>
  </sheetPr>
  <dimension ref="B1:Q181"/>
  <sheetViews>
    <sheetView topLeftCell="A62" zoomScale="115" zoomScaleNormal="115" zoomScaleSheetLayoutView="100" workbookViewId="0">
      <selection activeCell="N85" sqref="N85"/>
    </sheetView>
  </sheetViews>
  <sheetFormatPr defaultRowHeight="12.75" x14ac:dyDescent="0.2"/>
  <cols>
    <col min="1" max="1" width="2.7109375" style="4" customWidth="1"/>
    <col min="2" max="2" width="5.28515625" style="4" customWidth="1"/>
    <col min="3" max="3" width="30.85546875" style="4" customWidth="1"/>
    <col min="4" max="4" width="10.5703125" style="4" bestFit="1" customWidth="1"/>
    <col min="5" max="5" width="16.85546875" style="4" customWidth="1"/>
    <col min="6" max="6" width="12.42578125" style="4" customWidth="1"/>
    <col min="7" max="7" width="6.5703125" style="4" customWidth="1"/>
    <col min="8" max="8" width="11.85546875" style="4" customWidth="1"/>
    <col min="9" max="10" width="23.28515625" style="4" customWidth="1"/>
    <col min="11" max="11" width="12.7109375" style="2" customWidth="1"/>
    <col min="12" max="12" width="9.7109375" style="2" bestFit="1" customWidth="1"/>
    <col min="13" max="13" width="8.85546875" style="2"/>
    <col min="14" max="16" width="9.140625" style="4"/>
    <col min="17" max="17" width="15.140625" style="270" hidden="1" customWidth="1"/>
    <col min="18" max="16384" width="9.140625" style="4"/>
  </cols>
  <sheetData>
    <row r="1" spans="2:17" ht="13.5" thickBot="1" x14ac:dyDescent="0.25">
      <c r="K1" s="4"/>
      <c r="L1" s="4"/>
      <c r="M1" s="4"/>
    </row>
    <row r="2" spans="2:17" ht="27" customHeight="1" x14ac:dyDescent="0.2">
      <c r="B2" s="200"/>
      <c r="C2" s="201" t="s">
        <v>1</v>
      </c>
      <c r="D2" s="360"/>
      <c r="E2" s="566"/>
      <c r="F2" s="566"/>
      <c r="G2" s="566"/>
      <c r="H2" s="566"/>
      <c r="I2" s="202"/>
      <c r="J2" s="203" t="s">
        <v>37</v>
      </c>
      <c r="Q2" s="273" t="s">
        <v>157</v>
      </c>
    </row>
    <row r="3" spans="2:17" ht="3.95" customHeight="1" x14ac:dyDescent="0.2">
      <c r="B3" s="567"/>
      <c r="C3" s="568"/>
      <c r="D3" s="568"/>
      <c r="E3" s="568"/>
      <c r="F3" s="568"/>
      <c r="G3" s="568"/>
      <c r="H3" s="568"/>
      <c r="I3" s="568"/>
      <c r="J3" s="204"/>
    </row>
    <row r="4" spans="2:17" ht="12" customHeight="1" x14ac:dyDescent="0.2">
      <c r="B4" s="205">
        <v>1</v>
      </c>
      <c r="C4" s="17" t="s">
        <v>52</v>
      </c>
      <c r="D4" s="18"/>
      <c r="E4" s="18"/>
      <c r="F4" s="66"/>
      <c r="G4" s="66"/>
      <c r="H4" s="67" t="s">
        <v>117</v>
      </c>
      <c r="I4" s="68"/>
      <c r="J4" s="206"/>
    </row>
    <row r="5" spans="2:17" ht="12.75" customHeight="1" x14ac:dyDescent="0.2">
      <c r="B5" s="207"/>
      <c r="C5" s="2" t="s">
        <v>97</v>
      </c>
      <c r="D5" s="2"/>
      <c r="E5" s="110">
        <v>0</v>
      </c>
      <c r="G5" s="2"/>
      <c r="H5" s="2"/>
      <c r="I5" s="22">
        <f>E5*Samenvatting!G87</f>
        <v>0</v>
      </c>
      <c r="J5" s="208"/>
    </row>
    <row r="6" spans="2:17" ht="12.75" customHeight="1" x14ac:dyDescent="0.2">
      <c r="B6" s="209"/>
      <c r="C6" s="2" t="s">
        <v>83</v>
      </c>
      <c r="D6" s="2"/>
      <c r="E6" s="2"/>
      <c r="G6" s="2"/>
      <c r="H6" s="2" t="s">
        <v>118</v>
      </c>
      <c r="I6" s="119">
        <v>0</v>
      </c>
      <c r="J6" s="208"/>
    </row>
    <row r="7" spans="2:17" ht="12.75" customHeight="1" x14ac:dyDescent="0.2">
      <c r="B7" s="209"/>
      <c r="C7" s="2" t="s">
        <v>123</v>
      </c>
      <c r="D7" s="2"/>
      <c r="E7" s="2"/>
      <c r="G7" s="2"/>
      <c r="H7" s="2" t="s">
        <v>118</v>
      </c>
      <c r="I7" s="119" t="s">
        <v>12</v>
      </c>
      <c r="J7" s="208"/>
    </row>
    <row r="8" spans="2:17" ht="12.75" customHeight="1" x14ac:dyDescent="0.2">
      <c r="B8" s="209"/>
      <c r="C8" s="2" t="s">
        <v>48</v>
      </c>
      <c r="D8" s="2"/>
      <c r="E8" s="382">
        <v>0.03</v>
      </c>
      <c r="G8" s="2"/>
      <c r="H8" s="10">
        <f>SUM(I5:I7)</f>
        <v>0</v>
      </c>
      <c r="I8" s="118">
        <f>SUM(H8*E8)</f>
        <v>0</v>
      </c>
      <c r="J8" s="208"/>
    </row>
    <row r="9" spans="2:17" ht="12.75" customHeight="1" x14ac:dyDescent="0.2">
      <c r="B9" s="209"/>
      <c r="C9" s="2" t="s">
        <v>79</v>
      </c>
      <c r="D9" s="2"/>
      <c r="E9" s="2"/>
      <c r="F9" s="7"/>
      <c r="G9" s="2"/>
      <c r="H9" s="2" t="s">
        <v>118</v>
      </c>
      <c r="I9" s="119">
        <v>0</v>
      </c>
      <c r="J9" s="208"/>
    </row>
    <row r="10" spans="2:17" ht="12.75" customHeight="1" x14ac:dyDescent="0.2">
      <c r="B10" s="209"/>
      <c r="C10" s="2" t="s">
        <v>62</v>
      </c>
      <c r="D10" s="2"/>
      <c r="E10" s="2"/>
      <c r="F10" s="2"/>
      <c r="G10" s="2"/>
      <c r="H10" s="2" t="s">
        <v>118</v>
      </c>
      <c r="I10" s="119">
        <v>0</v>
      </c>
      <c r="J10" s="208"/>
    </row>
    <row r="11" spans="2:17" x14ac:dyDescent="0.2">
      <c r="B11" s="210"/>
      <c r="C11" s="11" t="s">
        <v>70</v>
      </c>
      <c r="D11" s="11"/>
      <c r="E11" s="11"/>
      <c r="F11" s="11"/>
      <c r="G11" s="11"/>
      <c r="H11" s="28"/>
      <c r="I11" s="248">
        <f>SUM(I5:I10)</f>
        <v>0</v>
      </c>
      <c r="J11" s="249">
        <f>I11/Samenvatting!$G$55</f>
        <v>0</v>
      </c>
    </row>
    <row r="12" spans="2:17" ht="3.95" customHeight="1" x14ac:dyDescent="0.2">
      <c r="B12" s="212"/>
      <c r="C12" s="75"/>
      <c r="D12" s="76"/>
      <c r="E12" s="76"/>
      <c r="F12" s="77"/>
      <c r="G12" s="77"/>
      <c r="H12" s="77"/>
      <c r="I12" s="69"/>
      <c r="J12" s="213"/>
    </row>
    <row r="13" spans="2:17" s="9" customFormat="1" ht="12" x14ac:dyDescent="0.2">
      <c r="B13" s="214">
        <v>2</v>
      </c>
      <c r="C13" s="17" t="s">
        <v>2</v>
      </c>
      <c r="D13" s="18" t="s">
        <v>227</v>
      </c>
      <c r="E13" s="18"/>
      <c r="F13" s="19"/>
      <c r="G13" s="19"/>
      <c r="H13" s="20"/>
      <c r="I13" s="71"/>
      <c r="J13" s="215"/>
      <c r="Q13" s="271"/>
    </row>
    <row r="14" spans="2:17" s="2" customFormat="1" ht="11.25" x14ac:dyDescent="0.2">
      <c r="B14" s="216"/>
      <c r="C14" s="2" t="s">
        <v>223</v>
      </c>
      <c r="D14" s="2" t="s">
        <v>100</v>
      </c>
      <c r="E14" s="380">
        <v>1275</v>
      </c>
      <c r="H14" s="245">
        <f>SUM(Samenvatting!G47)</f>
        <v>1000</v>
      </c>
      <c r="I14" s="22">
        <f>E14*H14</f>
        <v>1275000</v>
      </c>
      <c r="J14" s="211">
        <f>I14/Samenvatting!$G$75</f>
        <v>1275</v>
      </c>
      <c r="Q14" s="272"/>
    </row>
    <row r="15" spans="2:17" s="2" customFormat="1" ht="11.25" x14ac:dyDescent="0.2">
      <c r="B15" s="217"/>
      <c r="C15" s="2" t="s">
        <v>223</v>
      </c>
      <c r="D15" s="2" t="s">
        <v>99</v>
      </c>
      <c r="E15" s="380">
        <v>1100</v>
      </c>
      <c r="H15" s="245">
        <f>SUM(Samenvatting!G49)</f>
        <v>0</v>
      </c>
      <c r="I15" s="22">
        <f t="shared" ref="I15:I17" si="0">E15*H15</f>
        <v>0</v>
      </c>
      <c r="J15" s="211">
        <f>I15/Samenvatting!$G$75</f>
        <v>0</v>
      </c>
      <c r="Q15" s="272"/>
    </row>
    <row r="16" spans="2:17" s="2" customFormat="1" ht="11.25" x14ac:dyDescent="0.2">
      <c r="B16" s="217"/>
      <c r="C16" s="2" t="s">
        <v>223</v>
      </c>
      <c r="D16" s="2" t="s">
        <v>222</v>
      </c>
      <c r="E16" s="380">
        <v>1435</v>
      </c>
      <c r="H16" s="245">
        <f>SUM(Samenvatting!G51)</f>
        <v>0</v>
      </c>
      <c r="I16" s="22">
        <f t="shared" ref="I16" si="1">E16*H16</f>
        <v>0</v>
      </c>
      <c r="J16" s="211">
        <f>I16/Samenvatting!$G$75</f>
        <v>0</v>
      </c>
      <c r="Q16" s="272"/>
    </row>
    <row r="17" spans="2:17" s="2" customFormat="1" ht="11.25" x14ac:dyDescent="0.2">
      <c r="B17" s="217"/>
      <c r="C17" s="2" t="s">
        <v>223</v>
      </c>
      <c r="D17" s="2" t="s">
        <v>111</v>
      </c>
      <c r="E17" s="380">
        <v>1275</v>
      </c>
      <c r="H17" s="245">
        <f>SUM(Samenvatting!G53)</f>
        <v>0</v>
      </c>
      <c r="I17" s="22">
        <f t="shared" si="0"/>
        <v>0</v>
      </c>
      <c r="J17" s="211">
        <f>I17/Samenvatting!$G$75</f>
        <v>0</v>
      </c>
      <c r="Q17" s="272"/>
    </row>
    <row r="18" spans="2:17" s="2" customFormat="1" ht="11.25" x14ac:dyDescent="0.2">
      <c r="B18" s="217"/>
      <c r="C18" s="2" t="s">
        <v>224</v>
      </c>
      <c r="D18" s="2" t="s">
        <v>100</v>
      </c>
      <c r="E18" s="380">
        <v>1275</v>
      </c>
      <c r="H18" s="245">
        <f>SUM(Samenvatting!G58)</f>
        <v>0</v>
      </c>
      <c r="I18" s="22">
        <f>E18*H18</f>
        <v>0</v>
      </c>
      <c r="J18" s="211">
        <f>I18/Samenvatting!$G$75</f>
        <v>0</v>
      </c>
      <c r="Q18" s="272"/>
    </row>
    <row r="19" spans="2:17" s="2" customFormat="1" ht="11.25" x14ac:dyDescent="0.2">
      <c r="B19" s="217"/>
      <c r="C19" s="2" t="s">
        <v>224</v>
      </c>
      <c r="D19" s="2" t="s">
        <v>99</v>
      </c>
      <c r="E19" s="380">
        <v>0</v>
      </c>
      <c r="H19" s="245">
        <f>Samenvatting!G60</f>
        <v>0</v>
      </c>
      <c r="I19" s="22">
        <f t="shared" ref="I19:I23" si="2">E19*H19</f>
        <v>0</v>
      </c>
      <c r="J19" s="211">
        <f>I19/Samenvatting!$G$75</f>
        <v>0</v>
      </c>
      <c r="Q19" s="272"/>
    </row>
    <row r="20" spans="2:17" s="2" customFormat="1" ht="11.25" x14ac:dyDescent="0.2">
      <c r="B20" s="217"/>
      <c r="C20" s="2" t="s">
        <v>224</v>
      </c>
      <c r="D20" s="2" t="s">
        <v>222</v>
      </c>
      <c r="E20" s="380">
        <v>0</v>
      </c>
      <c r="H20" s="245">
        <f>Samenvatting!G62</f>
        <v>0</v>
      </c>
      <c r="I20" s="22">
        <f t="shared" ref="I20" si="3">E20*H20</f>
        <v>0</v>
      </c>
      <c r="J20" s="211">
        <f>I20/Samenvatting!$G$75</f>
        <v>0</v>
      </c>
      <c r="Q20" s="272"/>
    </row>
    <row r="21" spans="2:17" s="2" customFormat="1" ht="11.25" x14ac:dyDescent="0.2">
      <c r="B21" s="217"/>
      <c r="C21" s="2" t="s">
        <v>224</v>
      </c>
      <c r="D21" s="2" t="s">
        <v>111</v>
      </c>
      <c r="E21" s="380">
        <v>1275</v>
      </c>
      <c r="H21" s="245">
        <f>Samenvatting!G64</f>
        <v>0</v>
      </c>
      <c r="I21" s="22">
        <f t="shared" si="2"/>
        <v>0</v>
      </c>
      <c r="J21" s="211">
        <f>I21/Samenvatting!$G$75</f>
        <v>0</v>
      </c>
      <c r="Q21" s="272"/>
    </row>
    <row r="22" spans="2:17" s="2" customFormat="1" ht="11.25" x14ac:dyDescent="0.2">
      <c r="B22" s="217"/>
      <c r="C22" s="2" t="s">
        <v>197</v>
      </c>
      <c r="D22" s="2" t="s">
        <v>226</v>
      </c>
      <c r="E22" s="380">
        <v>1275</v>
      </c>
      <c r="H22" s="245">
        <f>Samenvatting!G69</f>
        <v>0</v>
      </c>
      <c r="I22" s="22">
        <f t="shared" si="2"/>
        <v>0</v>
      </c>
      <c r="J22" s="211">
        <f>I22/Samenvatting!$G$75</f>
        <v>0</v>
      </c>
      <c r="Q22" s="272"/>
    </row>
    <row r="23" spans="2:17" s="2" customFormat="1" ht="11.25" x14ac:dyDescent="0.2">
      <c r="B23" s="217"/>
      <c r="C23" s="2" t="s">
        <v>198</v>
      </c>
      <c r="D23" s="2" t="s">
        <v>226</v>
      </c>
      <c r="E23" s="380">
        <v>900</v>
      </c>
      <c r="H23" s="245">
        <f>Samenvatting!G71</f>
        <v>0</v>
      </c>
      <c r="I23" s="22">
        <f t="shared" si="2"/>
        <v>0</v>
      </c>
      <c r="J23" s="211">
        <f>I23/Samenvatting!$G$75</f>
        <v>0</v>
      </c>
      <c r="Q23" s="272"/>
    </row>
    <row r="24" spans="2:17" s="2" customFormat="1" ht="11.25" x14ac:dyDescent="0.2">
      <c r="B24" s="217"/>
      <c r="C24" s="2" t="s">
        <v>147</v>
      </c>
      <c r="D24" s="2" t="s">
        <v>226</v>
      </c>
      <c r="E24" s="380">
        <v>800</v>
      </c>
      <c r="H24" s="245">
        <f>Samenvatting!G78</f>
        <v>0</v>
      </c>
      <c r="I24" s="22">
        <f t="shared" ref="I24:I26" si="4">E24*H24</f>
        <v>0</v>
      </c>
      <c r="J24" s="211">
        <f>I24/Samenvatting!$G$75</f>
        <v>0</v>
      </c>
      <c r="Q24" s="272">
        <v>850</v>
      </c>
    </row>
    <row r="25" spans="2:17" s="2" customFormat="1" ht="11.25" x14ac:dyDescent="0.2">
      <c r="B25" s="217"/>
      <c r="C25" s="2" t="s">
        <v>201</v>
      </c>
      <c r="D25" s="2" t="s">
        <v>226</v>
      </c>
      <c r="E25" s="380">
        <v>0</v>
      </c>
      <c r="H25" s="245">
        <f>Samenvatting!G80</f>
        <v>0</v>
      </c>
      <c r="I25" s="22">
        <f t="shared" ref="I25" si="5">E25*H25</f>
        <v>0</v>
      </c>
      <c r="J25" s="211">
        <f>I25/Samenvatting!$G$75</f>
        <v>0</v>
      </c>
      <c r="Q25" s="272"/>
    </row>
    <row r="26" spans="2:17" s="2" customFormat="1" ht="11.25" x14ac:dyDescent="0.2">
      <c r="B26" s="217"/>
      <c r="C26" s="2" t="s">
        <v>148</v>
      </c>
      <c r="D26" s="2" t="s">
        <v>226</v>
      </c>
      <c r="E26" s="380">
        <v>800</v>
      </c>
      <c r="H26" s="245">
        <f>Samenvatting!G73</f>
        <v>0</v>
      </c>
      <c r="I26" s="22">
        <f t="shared" si="4"/>
        <v>0</v>
      </c>
      <c r="J26" s="211">
        <f>I26/Samenvatting!$G$75</f>
        <v>0</v>
      </c>
      <c r="Q26" s="272"/>
    </row>
    <row r="27" spans="2:17" s="2" customFormat="1" ht="11.25" x14ac:dyDescent="0.2">
      <c r="B27" s="217"/>
      <c r="C27" s="2" t="s">
        <v>232</v>
      </c>
      <c r="D27" s="370" t="s">
        <v>233</v>
      </c>
      <c r="E27" s="380">
        <v>0</v>
      </c>
      <c r="H27" s="245">
        <f>Samenvatting!G82</f>
        <v>1</v>
      </c>
      <c r="I27" s="22">
        <f t="shared" ref="I27" si="6">E27*H27</f>
        <v>0</v>
      </c>
      <c r="J27" s="211">
        <f>I27/Samenvatting!$G$75</f>
        <v>0</v>
      </c>
      <c r="Q27" s="272"/>
    </row>
    <row r="28" spans="2:17" s="2" customFormat="1" ht="11.25" x14ac:dyDescent="0.2">
      <c r="B28" s="217"/>
      <c r="C28" s="2" t="s">
        <v>149</v>
      </c>
      <c r="E28" s="335"/>
      <c r="H28" s="361">
        <f>SUM(H14:H27)</f>
        <v>1001</v>
      </c>
      <c r="I28" s="248">
        <f>SUM(I14:I26)</f>
        <v>1275000</v>
      </c>
      <c r="J28" s="211"/>
      <c r="Q28" s="272"/>
    </row>
    <row r="29" spans="2:17" s="2" customFormat="1" ht="11.25" x14ac:dyDescent="0.2">
      <c r="B29" s="217"/>
      <c r="E29" s="335"/>
      <c r="H29" s="245"/>
      <c r="I29" s="22"/>
      <c r="J29" s="211"/>
      <c r="Q29" s="272"/>
    </row>
    <row r="30" spans="2:17" s="2" customFormat="1" ht="11.25" x14ac:dyDescent="0.2">
      <c r="B30" s="217"/>
      <c r="C30" s="2" t="s">
        <v>107</v>
      </c>
      <c r="E30" s="380">
        <v>36200</v>
      </c>
      <c r="H30" s="257">
        <f>SUM(Samenvatting!V40)</f>
        <v>4</v>
      </c>
      <c r="I30" s="23">
        <f>SUM(E30*H30)</f>
        <v>144800</v>
      </c>
      <c r="J30" s="211">
        <f>I30/Samenvatting!$G$75</f>
        <v>144.80000000000001</v>
      </c>
      <c r="Q30" s="272"/>
    </row>
    <row r="31" spans="2:17" s="2" customFormat="1" ht="11.25" x14ac:dyDescent="0.2">
      <c r="B31" s="217"/>
      <c r="C31" s="2" t="s">
        <v>106</v>
      </c>
      <c r="E31" s="380">
        <v>0</v>
      </c>
      <c r="H31" s="257">
        <v>0</v>
      </c>
      <c r="I31" s="23">
        <f t="shared" ref="I31:I33" si="7">SUM(E31*H31)</f>
        <v>0</v>
      </c>
      <c r="J31" s="211">
        <f>I31/Samenvatting!$G$75</f>
        <v>0</v>
      </c>
      <c r="Q31" s="272"/>
    </row>
    <row r="32" spans="2:17" s="2" customFormat="1" ht="11.25" x14ac:dyDescent="0.2">
      <c r="B32" s="217"/>
      <c r="C32" s="2" t="s">
        <v>108</v>
      </c>
      <c r="E32" s="380">
        <v>0</v>
      </c>
      <c r="H32" s="257">
        <f>SUM(Samenvatting!U37)</f>
        <v>0</v>
      </c>
      <c r="I32" s="23">
        <f t="shared" si="7"/>
        <v>0</v>
      </c>
      <c r="J32" s="211">
        <f>I32/Samenvatting!$G$75</f>
        <v>0</v>
      </c>
      <c r="Q32" s="272"/>
    </row>
    <row r="33" spans="2:17" s="2" customFormat="1" ht="11.25" x14ac:dyDescent="0.2">
      <c r="B33" s="217"/>
      <c r="C33" s="2" t="s">
        <v>109</v>
      </c>
      <c r="E33" s="380">
        <v>0</v>
      </c>
      <c r="H33" s="257">
        <v>0</v>
      </c>
      <c r="I33" s="23">
        <f t="shared" si="7"/>
        <v>0</v>
      </c>
      <c r="J33" s="211">
        <f>I33/Samenvatting!$G$75</f>
        <v>0</v>
      </c>
      <c r="Q33" s="272"/>
    </row>
    <row r="34" spans="2:17" s="2" customFormat="1" ht="11.25" x14ac:dyDescent="0.2">
      <c r="B34" s="217"/>
      <c r="C34" s="2" t="s">
        <v>149</v>
      </c>
      <c r="E34" s="246"/>
      <c r="I34" s="248">
        <f>SUM(I28:I33)</f>
        <v>1419800</v>
      </c>
      <c r="J34" s="211"/>
      <c r="Q34" s="272"/>
    </row>
    <row r="35" spans="2:17" s="2" customFormat="1" ht="11.25" x14ac:dyDescent="0.2">
      <c r="B35" s="217"/>
      <c r="C35" s="45" t="s">
        <v>55</v>
      </c>
      <c r="E35" s="380">
        <v>100</v>
      </c>
      <c r="H35" s="257">
        <f>SUM(Samenvatting!G43)</f>
        <v>500</v>
      </c>
      <c r="I35" s="23">
        <f>SUM(E35*H35)</f>
        <v>50000</v>
      </c>
      <c r="J35" s="211">
        <f>I35/Samenvatting!$G$75</f>
        <v>50</v>
      </c>
      <c r="Q35" s="272"/>
    </row>
    <row r="36" spans="2:17" s="2" customFormat="1" ht="11.25" x14ac:dyDescent="0.2">
      <c r="B36" s="217"/>
      <c r="C36" s="2" t="s">
        <v>56</v>
      </c>
      <c r="E36" s="380">
        <v>200</v>
      </c>
      <c r="H36" s="257">
        <f>SUM(Samenvatting!G44)</f>
        <v>500</v>
      </c>
      <c r="I36" s="23">
        <f>SUM(H36*E36)</f>
        <v>100000</v>
      </c>
      <c r="J36" s="211">
        <f>I36/Samenvatting!$G$75</f>
        <v>100</v>
      </c>
      <c r="Q36" s="272"/>
    </row>
    <row r="37" spans="2:17" s="2" customFormat="1" ht="11.25" x14ac:dyDescent="0.2">
      <c r="B37" s="217"/>
      <c r="C37" s="2" t="s">
        <v>5</v>
      </c>
      <c r="E37" s="12"/>
      <c r="I37" s="23">
        <f>SUM(I34:I36)</f>
        <v>1569800</v>
      </c>
      <c r="J37" s="211">
        <f>I37/Samenvatting!$G$75</f>
        <v>1569.8</v>
      </c>
      <c r="Q37" s="272"/>
    </row>
    <row r="38" spans="2:17" s="2" customFormat="1" ht="6" customHeight="1" x14ac:dyDescent="0.2">
      <c r="B38" s="217"/>
      <c r="I38" s="22"/>
      <c r="J38" s="218"/>
      <c r="Q38" s="272"/>
    </row>
    <row r="39" spans="2:17" s="2" customFormat="1" ht="11.25" x14ac:dyDescent="0.2">
      <c r="B39" s="217"/>
      <c r="C39" s="2" t="s">
        <v>3</v>
      </c>
      <c r="E39" s="381">
        <v>0.1</v>
      </c>
      <c r="I39" s="24">
        <f>E39*I37</f>
        <v>156980</v>
      </c>
      <c r="J39" s="211">
        <f>I39/Samenvatting!$G$75</f>
        <v>156.97999999999999</v>
      </c>
      <c r="Q39" s="272"/>
    </row>
    <row r="40" spans="2:17" s="2" customFormat="1" ht="11.25" x14ac:dyDescent="0.2">
      <c r="B40" s="217"/>
      <c r="C40" s="2" t="s">
        <v>5</v>
      </c>
      <c r="I40" s="22">
        <f>I39+I37</f>
        <v>1726780</v>
      </c>
      <c r="J40" s="211"/>
      <c r="Q40" s="272"/>
    </row>
    <row r="41" spans="2:17" s="2" customFormat="1" ht="6" customHeight="1" x14ac:dyDescent="0.2">
      <c r="B41" s="217"/>
      <c r="I41" s="22"/>
      <c r="J41" s="218"/>
      <c r="Q41" s="272"/>
    </row>
    <row r="42" spans="2:17" s="2" customFormat="1" ht="11.25" x14ac:dyDescent="0.2">
      <c r="B42" s="217"/>
      <c r="C42" s="2" t="s">
        <v>115</v>
      </c>
      <c r="E42" s="381">
        <v>6.5000000000000002E-2</v>
      </c>
      <c r="G42" s="13"/>
      <c r="H42" s="13"/>
      <c r="I42" s="22">
        <f>$E$42*I40</f>
        <v>112240.7</v>
      </c>
      <c r="J42" s="211">
        <f>I42/Samenvatting!$G$75</f>
        <v>112.2407</v>
      </c>
      <c r="Q42" s="272"/>
    </row>
    <row r="43" spans="2:17" s="2" customFormat="1" ht="11.25" x14ac:dyDescent="0.2">
      <c r="B43" s="217"/>
      <c r="C43" s="2" t="s">
        <v>5</v>
      </c>
      <c r="G43" s="13"/>
      <c r="H43" s="13"/>
      <c r="I43" s="22">
        <f>I40+I42</f>
        <v>1839020.7</v>
      </c>
      <c r="J43" s="211"/>
      <c r="Q43" s="272"/>
    </row>
    <row r="44" spans="2:17" s="2" customFormat="1" ht="6" customHeight="1" x14ac:dyDescent="0.2">
      <c r="B44" s="217"/>
      <c r="G44" s="13"/>
      <c r="H44" s="13"/>
      <c r="I44" s="22"/>
      <c r="J44" s="218"/>
      <c r="Q44" s="272"/>
    </row>
    <row r="45" spans="2:17" s="2" customFormat="1" ht="11.25" x14ac:dyDescent="0.2">
      <c r="B45" s="217"/>
      <c r="C45" s="2" t="s">
        <v>6</v>
      </c>
      <c r="E45" s="382">
        <v>0.02</v>
      </c>
      <c r="G45" s="13"/>
      <c r="H45" s="256"/>
      <c r="I45" s="24">
        <f>E45*I43</f>
        <v>36780.413999999997</v>
      </c>
      <c r="J45" s="211">
        <f>I45/Samenvatting!$G$75</f>
        <v>36.780414</v>
      </c>
      <c r="Q45" s="272"/>
    </row>
    <row r="46" spans="2:17" s="2" customFormat="1" ht="11.25" x14ac:dyDescent="0.2">
      <c r="B46" s="217"/>
      <c r="C46" s="2" t="s">
        <v>5</v>
      </c>
      <c r="I46" s="22">
        <f>I43+I45</f>
        <v>1875801.1140000001</v>
      </c>
      <c r="J46" s="211"/>
      <c r="Q46" s="272"/>
    </row>
    <row r="47" spans="2:17" s="2" customFormat="1" ht="6" customHeight="1" x14ac:dyDescent="0.2">
      <c r="B47" s="217"/>
      <c r="I47" s="22"/>
      <c r="J47" s="211"/>
      <c r="Q47" s="272"/>
    </row>
    <row r="48" spans="2:17" s="2" customFormat="1" ht="12.75" customHeight="1" x14ac:dyDescent="0.2">
      <c r="B48" s="217"/>
      <c r="C48" s="2" t="s">
        <v>75</v>
      </c>
      <c r="E48" s="381">
        <v>2.3999999999999998E-3</v>
      </c>
      <c r="I48" s="24">
        <f>E48*I46</f>
        <v>4501.9226736000001</v>
      </c>
      <c r="J48" s="211">
        <f>I48/Samenvatting!$G$75</f>
        <v>4.5019226736000002</v>
      </c>
      <c r="Q48" s="272"/>
    </row>
    <row r="49" spans="2:17" s="2" customFormat="1" ht="10.5" customHeight="1" x14ac:dyDescent="0.2">
      <c r="B49" s="217"/>
      <c r="C49" s="2" t="s">
        <v>5</v>
      </c>
      <c r="I49" s="22">
        <f>I46+I48</f>
        <v>1880303.0366736001</v>
      </c>
      <c r="J49" s="211"/>
      <c r="Q49" s="272"/>
    </row>
    <row r="50" spans="2:17" s="2" customFormat="1" ht="6" customHeight="1" x14ac:dyDescent="0.2">
      <c r="B50" s="217"/>
      <c r="I50" s="22"/>
      <c r="J50" s="211"/>
      <c r="Q50" s="272"/>
    </row>
    <row r="51" spans="2:17" s="2" customFormat="1" ht="11.25" x14ac:dyDescent="0.2">
      <c r="B51" s="217"/>
      <c r="C51" s="2" t="s">
        <v>36</v>
      </c>
      <c r="E51" s="381">
        <v>0.05</v>
      </c>
      <c r="I51" s="22">
        <f>$E$51*I49</f>
        <v>94015.151833680007</v>
      </c>
      <c r="J51" s="211">
        <f>I51/Samenvatting!$G$55</f>
        <v>94.015151833680008</v>
      </c>
      <c r="Q51" s="272"/>
    </row>
    <row r="52" spans="2:17" s="2" customFormat="1" ht="6" customHeight="1" x14ac:dyDescent="0.2">
      <c r="B52" s="217"/>
      <c r="I52" s="22"/>
      <c r="J52" s="218"/>
      <c r="Q52" s="272"/>
    </row>
    <row r="53" spans="2:17" s="2" customFormat="1" ht="11.25" x14ac:dyDescent="0.2">
      <c r="B53" s="219"/>
      <c r="C53" s="21" t="s">
        <v>69</v>
      </c>
      <c r="D53" s="21"/>
      <c r="E53" s="21"/>
      <c r="F53" s="21"/>
      <c r="G53" s="21"/>
      <c r="H53" s="21"/>
      <c r="I53" s="248">
        <f>I51+I49</f>
        <v>1974318.1885072801</v>
      </c>
      <c r="J53" s="211">
        <f>I53/Samenvatting!$G$75</f>
        <v>1974.3181885072802</v>
      </c>
      <c r="K53" s="10"/>
      <c r="Q53" s="272">
        <v>1600</v>
      </c>
    </row>
    <row r="54" spans="2:17" ht="3.95" customHeight="1" x14ac:dyDescent="0.2">
      <c r="B54" s="220"/>
      <c r="C54" s="75"/>
      <c r="D54" s="75"/>
      <c r="E54" s="75"/>
      <c r="F54" s="78"/>
      <c r="G54" s="78"/>
      <c r="H54" s="78"/>
      <c r="I54" s="70"/>
      <c r="J54" s="204"/>
    </row>
    <row r="55" spans="2:17" s="9" customFormat="1" ht="12" x14ac:dyDescent="0.2">
      <c r="B55" s="221">
        <v>3</v>
      </c>
      <c r="C55" s="29" t="s">
        <v>87</v>
      </c>
      <c r="D55" s="30"/>
      <c r="E55" s="30"/>
      <c r="F55" s="19"/>
      <c r="G55" s="19"/>
      <c r="H55" s="20"/>
      <c r="I55" s="72"/>
      <c r="J55" s="222"/>
      <c r="Q55" s="271"/>
    </row>
    <row r="56" spans="2:17" s="2" customFormat="1" ht="11.25" x14ac:dyDescent="0.2">
      <c r="B56" s="216"/>
      <c r="C56" s="31" t="s">
        <v>7</v>
      </c>
      <c r="D56" s="32"/>
      <c r="E56" s="32"/>
      <c r="F56" s="33"/>
      <c r="G56" s="33"/>
      <c r="H56" s="34"/>
      <c r="I56" s="25"/>
      <c r="J56" s="223"/>
      <c r="Q56" s="272"/>
    </row>
    <row r="57" spans="2:17" s="2" customFormat="1" ht="11.25" x14ac:dyDescent="0.2">
      <c r="B57" s="217"/>
      <c r="C57" s="35" t="s">
        <v>8</v>
      </c>
      <c r="D57" s="14"/>
      <c r="E57" s="14"/>
      <c r="F57" s="13"/>
      <c r="G57" s="13"/>
      <c r="H57" s="36"/>
      <c r="I57" s="25"/>
      <c r="J57" s="223"/>
      <c r="Q57" s="272"/>
    </row>
    <row r="58" spans="2:17" s="2" customFormat="1" ht="11.25" x14ac:dyDescent="0.2">
      <c r="B58" s="217"/>
      <c r="C58" s="35" t="s">
        <v>81</v>
      </c>
      <c r="D58" s="14"/>
      <c r="E58" s="14"/>
      <c r="F58" s="13"/>
      <c r="G58" s="13"/>
      <c r="H58" s="36"/>
      <c r="I58" s="25"/>
      <c r="J58" s="223"/>
      <c r="Q58" s="272"/>
    </row>
    <row r="59" spans="2:17" s="2" customFormat="1" ht="11.25" x14ac:dyDescent="0.2">
      <c r="B59" s="217"/>
      <c r="C59" s="35" t="s">
        <v>84</v>
      </c>
      <c r="D59" s="14"/>
      <c r="E59" s="14"/>
      <c r="F59" s="13"/>
      <c r="G59" s="13"/>
      <c r="H59" s="36"/>
      <c r="I59" s="25"/>
      <c r="J59" s="223"/>
      <c r="Q59" s="272"/>
    </row>
    <row r="60" spans="2:17" s="2" customFormat="1" ht="11.25" x14ac:dyDescent="0.2">
      <c r="B60" s="217"/>
      <c r="C60" s="35" t="s">
        <v>82</v>
      </c>
      <c r="D60" s="14"/>
      <c r="E60" s="14"/>
      <c r="F60" s="13"/>
      <c r="G60" s="13"/>
      <c r="H60" s="36"/>
      <c r="I60" s="25"/>
      <c r="J60" s="223"/>
      <c r="Q60" s="272"/>
    </row>
    <row r="61" spans="2:17" s="2" customFormat="1" ht="11.25" x14ac:dyDescent="0.2">
      <c r="B61" s="217"/>
      <c r="C61" s="35" t="s">
        <v>85</v>
      </c>
      <c r="D61" s="14"/>
      <c r="E61" s="14"/>
      <c r="F61" s="13"/>
      <c r="G61" s="13"/>
      <c r="H61" s="36"/>
      <c r="I61" s="25"/>
      <c r="J61" s="223"/>
      <c r="Q61" s="272"/>
    </row>
    <row r="62" spans="2:17" s="2" customFormat="1" ht="11.25" x14ac:dyDescent="0.2">
      <c r="B62" s="217"/>
      <c r="C62" s="35" t="s">
        <v>80</v>
      </c>
      <c r="D62" s="14"/>
      <c r="E62" s="14"/>
      <c r="F62" s="13"/>
      <c r="G62" s="13"/>
      <c r="H62" s="36"/>
      <c r="I62" s="25"/>
      <c r="J62" s="223"/>
      <c r="Q62" s="272"/>
    </row>
    <row r="63" spans="2:17" s="2" customFormat="1" ht="11.25" x14ac:dyDescent="0.2">
      <c r="B63" s="217"/>
      <c r="C63" s="35" t="s">
        <v>88</v>
      </c>
      <c r="D63" s="14"/>
      <c r="E63" s="14"/>
      <c r="F63" s="13"/>
      <c r="G63" s="13"/>
      <c r="H63" s="36"/>
      <c r="I63" s="25"/>
      <c r="J63" s="223"/>
      <c r="Q63" s="272"/>
    </row>
    <row r="64" spans="2:17" s="2" customFormat="1" ht="11.25" x14ac:dyDescent="0.2">
      <c r="B64" s="217"/>
      <c r="C64" s="35" t="s">
        <v>89</v>
      </c>
      <c r="D64" s="14"/>
      <c r="E64" s="14"/>
      <c r="F64" s="13"/>
      <c r="G64" s="13"/>
      <c r="H64" s="36"/>
      <c r="I64" s="25"/>
      <c r="J64" s="223"/>
      <c r="Q64" s="272"/>
    </row>
    <row r="65" spans="2:17" s="2" customFormat="1" ht="11.25" x14ac:dyDescent="0.2">
      <c r="B65" s="217"/>
      <c r="C65" s="35" t="s">
        <v>90</v>
      </c>
      <c r="D65" s="14"/>
      <c r="E65" s="14"/>
      <c r="F65" s="13"/>
      <c r="G65" s="13"/>
      <c r="H65" s="36"/>
      <c r="I65" s="25"/>
      <c r="J65" s="223"/>
      <c r="Q65" s="272"/>
    </row>
    <row r="66" spans="2:17" s="2" customFormat="1" ht="11.25" x14ac:dyDescent="0.2">
      <c r="B66" s="219"/>
      <c r="C66" s="37" t="s">
        <v>9</v>
      </c>
      <c r="D66" s="11"/>
      <c r="E66" s="383">
        <v>7.4999999999999997E-2</v>
      </c>
      <c r="F66" s="38" t="s">
        <v>4</v>
      </c>
      <c r="G66" s="38"/>
      <c r="H66" s="247">
        <f>SUM(I34)</f>
        <v>1419800</v>
      </c>
      <c r="I66" s="250">
        <f>$E$66*H66</f>
        <v>106485</v>
      </c>
      <c r="J66" s="249">
        <f>I66/Samenvatting!$G$55</f>
        <v>106.485</v>
      </c>
      <c r="K66" s="15"/>
      <c r="Q66" s="272"/>
    </row>
    <row r="67" spans="2:17" ht="3.95" customHeight="1" x14ac:dyDescent="0.2">
      <c r="B67" s="224"/>
      <c r="C67" s="76"/>
      <c r="D67" s="76"/>
      <c r="E67" s="76"/>
      <c r="F67" s="77"/>
      <c r="G67" s="77"/>
      <c r="H67" s="77"/>
      <c r="I67" s="69"/>
      <c r="J67" s="213"/>
    </row>
    <row r="68" spans="2:17" s="9" customFormat="1" ht="12" x14ac:dyDescent="0.2">
      <c r="B68" s="221">
        <v>4</v>
      </c>
      <c r="C68" s="18" t="s">
        <v>10</v>
      </c>
      <c r="D68" s="18"/>
      <c r="E68" s="18"/>
      <c r="F68" s="19"/>
      <c r="G68" s="19"/>
      <c r="H68" s="20"/>
      <c r="I68" s="71"/>
      <c r="J68" s="225"/>
      <c r="Q68" s="271"/>
    </row>
    <row r="69" spans="2:17" s="2" customFormat="1" ht="11.25" x14ac:dyDescent="0.2">
      <c r="B69" s="216"/>
      <c r="C69" s="31" t="s">
        <v>11</v>
      </c>
      <c r="D69" s="32"/>
      <c r="E69" s="32"/>
      <c r="F69" s="33"/>
      <c r="G69" s="33"/>
      <c r="H69" s="34"/>
      <c r="I69" s="26" t="s">
        <v>12</v>
      </c>
      <c r="J69" s="226"/>
      <c r="Q69" s="272"/>
    </row>
    <row r="70" spans="2:17" s="2" customFormat="1" ht="11.25" x14ac:dyDescent="0.2">
      <c r="B70" s="217"/>
      <c r="C70" s="35" t="s">
        <v>13</v>
      </c>
      <c r="D70" s="14"/>
      <c r="E70" s="14"/>
      <c r="F70" s="13"/>
      <c r="G70" s="13"/>
      <c r="H70" s="36"/>
      <c r="I70" s="26" t="s">
        <v>12</v>
      </c>
      <c r="J70" s="226"/>
      <c r="Q70" s="272"/>
    </row>
    <row r="71" spans="2:17" s="2" customFormat="1" ht="11.25" x14ac:dyDescent="0.2">
      <c r="B71" s="217"/>
      <c r="C71" s="35" t="s">
        <v>14</v>
      </c>
      <c r="D71" s="14"/>
      <c r="E71" s="14"/>
      <c r="F71" s="13"/>
      <c r="G71" s="13"/>
      <c r="H71" s="36"/>
      <c r="I71" s="26" t="s">
        <v>12</v>
      </c>
      <c r="J71" s="226"/>
      <c r="Q71" s="272"/>
    </row>
    <row r="72" spans="2:17" s="2" customFormat="1" ht="11.25" x14ac:dyDescent="0.2">
      <c r="B72" s="217"/>
      <c r="C72" s="35" t="s">
        <v>15</v>
      </c>
      <c r="D72" s="14"/>
      <c r="E72" s="14"/>
      <c r="F72" s="13"/>
      <c r="G72" s="13"/>
      <c r="H72" s="36"/>
      <c r="I72" s="26" t="s">
        <v>12</v>
      </c>
      <c r="J72" s="226"/>
      <c r="Q72" s="272"/>
    </row>
    <row r="73" spans="2:17" s="2" customFormat="1" ht="11.25" x14ac:dyDescent="0.2">
      <c r="B73" s="217"/>
      <c r="C73" s="35" t="s">
        <v>16</v>
      </c>
      <c r="D73" s="14"/>
      <c r="E73" s="14"/>
      <c r="F73" s="13"/>
      <c r="G73" s="13"/>
      <c r="H73" s="36"/>
      <c r="I73" s="27" t="s">
        <v>12</v>
      </c>
      <c r="J73" s="227"/>
      <c r="Q73" s="272"/>
    </row>
    <row r="74" spans="2:17" s="2" customFormat="1" ht="11.25" x14ac:dyDescent="0.2">
      <c r="B74" s="217"/>
      <c r="C74" s="35" t="s">
        <v>17</v>
      </c>
      <c r="D74" s="14"/>
      <c r="E74" s="14"/>
      <c r="F74" s="13"/>
      <c r="G74" s="13"/>
      <c r="H74" s="36"/>
      <c r="I74" s="27" t="s">
        <v>12</v>
      </c>
      <c r="J74" s="227"/>
      <c r="Q74" s="272"/>
    </row>
    <row r="75" spans="2:17" s="2" customFormat="1" ht="11.25" x14ac:dyDescent="0.2">
      <c r="B75" s="217"/>
      <c r="C75" s="35" t="s">
        <v>18</v>
      </c>
      <c r="D75" s="14"/>
      <c r="E75" s="14"/>
      <c r="F75" s="13"/>
      <c r="G75" s="13"/>
      <c r="H75" s="36"/>
      <c r="I75" s="26" t="s">
        <v>12</v>
      </c>
      <c r="J75" s="226"/>
      <c r="Q75" s="272"/>
    </row>
    <row r="76" spans="2:17" s="2" customFormat="1" ht="11.25" x14ac:dyDescent="0.2">
      <c r="B76" s="219"/>
      <c r="C76" s="37" t="s">
        <v>19</v>
      </c>
      <c r="D76" s="11"/>
      <c r="E76" s="383">
        <v>0.02</v>
      </c>
      <c r="F76" s="38" t="s">
        <v>4</v>
      </c>
      <c r="G76" s="38"/>
      <c r="H76" s="39"/>
      <c r="I76" s="250">
        <f>$E$76*I53</f>
        <v>39486.363770145603</v>
      </c>
      <c r="J76" s="249">
        <f>I76/Samenvatting!$G$55</f>
        <v>39.486363770145601</v>
      </c>
      <c r="K76" s="15"/>
      <c r="Q76" s="272"/>
    </row>
    <row r="77" spans="2:17" ht="3.95" customHeight="1" x14ac:dyDescent="0.2">
      <c r="B77" s="212"/>
      <c r="C77" s="79"/>
      <c r="D77" s="76"/>
      <c r="E77" s="76"/>
      <c r="F77" s="77"/>
      <c r="G77" s="77"/>
      <c r="H77" s="77"/>
      <c r="I77" s="69"/>
      <c r="J77" s="213"/>
    </row>
    <row r="78" spans="2:17" s="9" customFormat="1" ht="12" x14ac:dyDescent="0.2">
      <c r="B78" s="221">
        <v>5</v>
      </c>
      <c r="C78" s="17" t="s">
        <v>20</v>
      </c>
      <c r="D78" s="18"/>
      <c r="E78" s="18"/>
      <c r="F78" s="19"/>
      <c r="G78" s="19"/>
      <c r="H78" s="20"/>
      <c r="I78" s="71"/>
      <c r="J78" s="225"/>
      <c r="Q78" s="271"/>
    </row>
    <row r="79" spans="2:17" s="2" customFormat="1" ht="11.25" x14ac:dyDescent="0.2">
      <c r="B79" s="216"/>
      <c r="C79" s="32" t="s">
        <v>86</v>
      </c>
      <c r="D79" s="32"/>
      <c r="E79" s="32"/>
      <c r="F79" s="33"/>
      <c r="G79" s="33"/>
      <c r="H79" s="34"/>
      <c r="I79" s="26" t="s">
        <v>12</v>
      </c>
      <c r="J79" s="226"/>
      <c r="Q79" s="272"/>
    </row>
    <row r="80" spans="2:17" s="2" customFormat="1" ht="11.25" x14ac:dyDescent="0.2">
      <c r="B80" s="217"/>
      <c r="C80" s="14" t="s">
        <v>21</v>
      </c>
      <c r="D80" s="14"/>
      <c r="E80" s="14"/>
      <c r="F80" s="13"/>
      <c r="G80" s="13"/>
      <c r="H80" s="36"/>
      <c r="I80" s="26" t="s">
        <v>12</v>
      </c>
      <c r="J80" s="226"/>
      <c r="Q80" s="272"/>
    </row>
    <row r="81" spans="2:17" s="2" customFormat="1" ht="11.25" x14ac:dyDescent="0.2">
      <c r="B81" s="217"/>
      <c r="C81" s="14" t="s">
        <v>22</v>
      </c>
      <c r="D81" s="14"/>
      <c r="E81" s="14"/>
      <c r="F81" s="13"/>
      <c r="G81" s="13"/>
      <c r="H81" s="36"/>
      <c r="I81" s="26" t="s">
        <v>12</v>
      </c>
      <c r="J81" s="226"/>
      <c r="Q81" s="272"/>
    </row>
    <row r="82" spans="2:17" s="2" customFormat="1" ht="11.25" x14ac:dyDescent="0.2">
      <c r="B82" s="219"/>
      <c r="C82" s="11" t="s">
        <v>23</v>
      </c>
      <c r="D82" s="11"/>
      <c r="E82" s="384">
        <v>2.5000000000000001E-2</v>
      </c>
      <c r="F82" s="38" t="s">
        <v>4</v>
      </c>
      <c r="G82" s="38"/>
      <c r="H82" s="247">
        <f>SUM(I34)</f>
        <v>1419800</v>
      </c>
      <c r="I82" s="250">
        <f>$E$82*H82</f>
        <v>35495</v>
      </c>
      <c r="J82" s="249">
        <f>I82/Samenvatting!$G$55</f>
        <v>35.494999999999997</v>
      </c>
      <c r="Q82" s="274">
        <v>2.5000000000000001E-2</v>
      </c>
    </row>
    <row r="83" spans="2:17" ht="3.95" customHeight="1" x14ac:dyDescent="0.2">
      <c r="B83" s="212"/>
      <c r="C83" s="76"/>
      <c r="D83" s="76"/>
      <c r="E83" s="76"/>
      <c r="F83" s="77"/>
      <c r="G83" s="77"/>
      <c r="H83" s="77"/>
      <c r="I83" s="69"/>
      <c r="J83" s="213"/>
    </row>
    <row r="84" spans="2:17" s="9" customFormat="1" ht="12" x14ac:dyDescent="0.2">
      <c r="B84" s="221">
        <v>6</v>
      </c>
      <c r="C84" s="17" t="s">
        <v>38</v>
      </c>
      <c r="D84" s="18"/>
      <c r="E84" s="18"/>
      <c r="F84" s="19"/>
      <c r="G84" s="19"/>
      <c r="H84" s="20"/>
      <c r="I84" s="71"/>
      <c r="J84" s="225"/>
      <c r="Q84" s="271"/>
    </row>
    <row r="85" spans="2:17" s="2" customFormat="1" ht="11.25" x14ac:dyDescent="0.2">
      <c r="B85" s="216"/>
      <c r="C85" s="31" t="s">
        <v>24</v>
      </c>
      <c r="D85" s="32"/>
      <c r="E85" s="32"/>
      <c r="F85" s="33"/>
      <c r="G85" s="33"/>
      <c r="H85" s="34"/>
      <c r="I85" s="80">
        <f>I53+I66+I76+I82</f>
        <v>2155784.5522774258</v>
      </c>
      <c r="J85" s="228"/>
      <c r="Q85" s="272"/>
    </row>
    <row r="86" spans="2:17" s="2" customFormat="1" ht="11.25" x14ac:dyDescent="0.2">
      <c r="B86" s="219"/>
      <c r="C86" s="37" t="s">
        <v>25</v>
      </c>
      <c r="D86" s="11"/>
      <c r="E86" s="383">
        <v>0.05</v>
      </c>
      <c r="F86" s="38" t="s">
        <v>4</v>
      </c>
      <c r="G86" s="38"/>
      <c r="H86" s="39"/>
      <c r="I86" s="250">
        <f>$E$86*I85</f>
        <v>107789.22761387129</v>
      </c>
      <c r="J86" s="249">
        <f>I86/Samenvatting!$G$55</f>
        <v>107.78922761387129</v>
      </c>
      <c r="Q86" s="272"/>
    </row>
    <row r="87" spans="2:17" ht="3.95" customHeight="1" x14ac:dyDescent="0.2">
      <c r="B87" s="212"/>
      <c r="C87" s="76"/>
      <c r="D87" s="76"/>
      <c r="E87" s="76"/>
      <c r="F87" s="77"/>
      <c r="G87" s="77"/>
      <c r="H87" s="77"/>
      <c r="I87" s="69"/>
      <c r="J87" s="213"/>
    </row>
    <row r="88" spans="2:17" s="9" customFormat="1" ht="12" x14ac:dyDescent="0.2">
      <c r="B88" s="221">
        <v>7</v>
      </c>
      <c r="C88" s="17" t="s">
        <v>26</v>
      </c>
      <c r="D88" s="18"/>
      <c r="E88" s="18"/>
      <c r="F88" s="19"/>
      <c r="G88" s="19"/>
      <c r="H88" s="20"/>
      <c r="I88" s="73"/>
      <c r="J88" s="225"/>
      <c r="Q88" s="271"/>
    </row>
    <row r="89" spans="2:17" s="2" customFormat="1" ht="11.25" x14ac:dyDescent="0.2">
      <c r="B89" s="229"/>
      <c r="C89" s="11" t="s">
        <v>27</v>
      </c>
      <c r="D89" s="11"/>
      <c r="E89" s="385">
        <v>0.03</v>
      </c>
      <c r="F89" s="38" t="s">
        <v>4</v>
      </c>
      <c r="G89" s="38"/>
      <c r="H89" s="39"/>
      <c r="I89" s="250">
        <f>$E$89*I53</f>
        <v>59229.545655218397</v>
      </c>
      <c r="J89" s="249">
        <f>I89/Samenvatting!$G$55</f>
        <v>59.229545655218395</v>
      </c>
      <c r="Q89" s="272"/>
    </row>
    <row r="90" spans="2:17" ht="3.95" customHeight="1" x14ac:dyDescent="0.2">
      <c r="B90" s="230"/>
      <c r="C90" s="8"/>
      <c r="D90" s="8"/>
      <c r="E90" s="8"/>
      <c r="F90" s="8"/>
      <c r="G90" s="8"/>
      <c r="H90" s="8"/>
      <c r="I90" s="40"/>
      <c r="J90" s="231"/>
    </row>
    <row r="91" spans="2:17" s="9" customFormat="1" ht="12" x14ac:dyDescent="0.2">
      <c r="B91" s="221">
        <v>8</v>
      </c>
      <c r="C91" s="17" t="s">
        <v>28</v>
      </c>
      <c r="D91" s="18"/>
      <c r="E91" s="18"/>
      <c r="F91" s="19"/>
      <c r="G91" s="19"/>
      <c r="H91" s="20"/>
      <c r="I91" s="71"/>
      <c r="J91" s="225"/>
      <c r="L91" s="2"/>
      <c r="Q91" s="271"/>
    </row>
    <row r="92" spans="2:17" s="2" customFormat="1" ht="11.25" x14ac:dyDescent="0.2">
      <c r="B92" s="232"/>
      <c r="C92" s="43" t="s">
        <v>29</v>
      </c>
      <c r="D92" s="44"/>
      <c r="E92" s="386">
        <v>0.03</v>
      </c>
      <c r="F92" s="44"/>
      <c r="G92" s="44"/>
      <c r="H92" s="6"/>
      <c r="I92" s="25"/>
      <c r="J92" s="223"/>
      <c r="Q92" s="272"/>
    </row>
    <row r="93" spans="2:17" s="2" customFormat="1" ht="11.25" x14ac:dyDescent="0.2">
      <c r="B93" s="233"/>
      <c r="C93" s="45" t="s">
        <v>30</v>
      </c>
      <c r="E93" s="110">
        <v>24</v>
      </c>
      <c r="G93" s="2" t="s">
        <v>91</v>
      </c>
      <c r="H93" s="46"/>
      <c r="I93" s="25"/>
      <c r="J93" s="223"/>
      <c r="Q93" s="272"/>
    </row>
    <row r="94" spans="2:17" s="2" customFormat="1" ht="11.25" x14ac:dyDescent="0.2">
      <c r="B94" s="233"/>
      <c r="C94" s="35" t="s">
        <v>54</v>
      </c>
      <c r="D94" s="14"/>
      <c r="E94" s="16">
        <v>1</v>
      </c>
      <c r="F94" s="13" t="s">
        <v>4</v>
      </c>
      <c r="G94" s="2" t="s">
        <v>92</v>
      </c>
      <c r="H94" s="46"/>
      <c r="I94" s="49" t="s">
        <v>51</v>
      </c>
      <c r="J94" s="234"/>
      <c r="Q94" s="272"/>
    </row>
    <row r="95" spans="2:17" s="2" customFormat="1" ht="11.25" x14ac:dyDescent="0.2">
      <c r="B95" s="233"/>
      <c r="C95" s="35" t="s">
        <v>53</v>
      </c>
      <c r="D95" s="14"/>
      <c r="E95" s="16">
        <v>1</v>
      </c>
      <c r="F95" s="13" t="s">
        <v>4</v>
      </c>
      <c r="G95" s="2" t="s">
        <v>92</v>
      </c>
      <c r="H95" s="46"/>
      <c r="I95" s="49">
        <f>$E$95*($E$93/12)*$E$92*I11</f>
        <v>0</v>
      </c>
      <c r="J95" s="234"/>
      <c r="Q95" s="272"/>
    </row>
    <row r="96" spans="2:17" s="2" customFormat="1" ht="11.25" x14ac:dyDescent="0.2">
      <c r="B96" s="233"/>
      <c r="C96" s="35" t="s">
        <v>31</v>
      </c>
      <c r="D96" s="14"/>
      <c r="E96" s="16">
        <v>0</v>
      </c>
      <c r="F96" s="13" t="s">
        <v>4</v>
      </c>
      <c r="G96" s="2" t="s">
        <v>92</v>
      </c>
      <c r="H96" s="46"/>
      <c r="I96" s="50">
        <f>$E$96*($E$93/12)*$E$92*I53</f>
        <v>0</v>
      </c>
      <c r="J96" s="234"/>
      <c r="Q96" s="272"/>
    </row>
    <row r="97" spans="2:17" s="2" customFormat="1" ht="11.25" x14ac:dyDescent="0.2">
      <c r="B97" s="233"/>
      <c r="C97" s="35" t="s">
        <v>32</v>
      </c>
      <c r="D97" s="14"/>
      <c r="F97" s="13"/>
      <c r="H97" s="46"/>
      <c r="I97" s="25"/>
      <c r="J97" s="223"/>
      <c r="Q97" s="272"/>
    </row>
    <row r="98" spans="2:17" s="2" customFormat="1" ht="11.25" x14ac:dyDescent="0.2">
      <c r="B98" s="233"/>
      <c r="C98" s="35" t="s">
        <v>33</v>
      </c>
      <c r="D98" s="14"/>
      <c r="E98" s="16">
        <v>0.33333333333333337</v>
      </c>
      <c r="F98" s="13" t="s">
        <v>4</v>
      </c>
      <c r="G98" s="2" t="s">
        <v>92</v>
      </c>
      <c r="H98" s="46"/>
      <c r="I98" s="50">
        <f>$E$98*($E$93/12)*$E$92*(I66+I76+I82+I86+I89)</f>
        <v>6969.7027407847063</v>
      </c>
      <c r="J98" s="234"/>
      <c r="Q98" s="272"/>
    </row>
    <row r="99" spans="2:17" s="2" customFormat="1" ht="11.25" x14ac:dyDescent="0.2">
      <c r="B99" s="235"/>
      <c r="C99" s="37" t="s">
        <v>34</v>
      </c>
      <c r="D99" s="11"/>
      <c r="E99" s="11"/>
      <c r="F99" s="11"/>
      <c r="G99" s="11"/>
      <c r="H99" s="28"/>
      <c r="I99" s="48">
        <f>SUM(I93:I98)</f>
        <v>6969.7027407847063</v>
      </c>
      <c r="J99" s="211">
        <f>I99/Samenvatting!$G$55</f>
        <v>6.9697027407847063</v>
      </c>
      <c r="Q99" s="272"/>
    </row>
    <row r="100" spans="2:17" ht="3.95" customHeight="1" x14ac:dyDescent="0.2">
      <c r="B100" s="212"/>
      <c r="C100" s="76"/>
      <c r="D100" s="76"/>
      <c r="E100" s="76"/>
      <c r="F100" s="77"/>
      <c r="G100" s="77"/>
      <c r="H100" s="77"/>
      <c r="J100" s="204"/>
    </row>
    <row r="101" spans="2:17" s="9" customFormat="1" ht="12.75" customHeight="1" x14ac:dyDescent="0.2">
      <c r="B101" s="236">
        <v>9</v>
      </c>
      <c r="C101" s="51" t="s">
        <v>49</v>
      </c>
      <c r="D101" s="52"/>
      <c r="E101" s="52"/>
      <c r="F101" s="53"/>
      <c r="G101" s="53"/>
      <c r="H101" s="54"/>
      <c r="I101" s="74"/>
      <c r="J101" s="215"/>
      <c r="Q101" s="271"/>
    </row>
    <row r="102" spans="2:17" s="2" customFormat="1" ht="12.75" customHeight="1" x14ac:dyDescent="0.2">
      <c r="B102" s="237"/>
      <c r="C102" s="41" t="s">
        <v>39</v>
      </c>
      <c r="D102" s="42"/>
      <c r="E102" s="42"/>
      <c r="F102" s="42"/>
      <c r="G102" s="42"/>
      <c r="H102" s="47"/>
      <c r="I102" s="81">
        <f>I11+I53+I66+I76+I82+I86+I89+I99</f>
        <v>2329773.0282873004</v>
      </c>
      <c r="J102" s="389">
        <f>I102/Samenvatting!$G$55</f>
        <v>2329.7730282873003</v>
      </c>
      <c r="Q102" s="272"/>
    </row>
    <row r="103" spans="2:17" ht="3.95" customHeight="1" x14ac:dyDescent="0.2">
      <c r="B103" s="212"/>
      <c r="C103" s="76"/>
      <c r="D103" s="76"/>
      <c r="E103" s="76"/>
      <c r="F103" s="77"/>
      <c r="G103" s="77"/>
      <c r="H103" s="77"/>
      <c r="I103" s="82"/>
      <c r="J103" s="204"/>
      <c r="L103" s="4"/>
      <c r="M103" s="4"/>
    </row>
    <row r="104" spans="2:17" x14ac:dyDescent="0.2">
      <c r="B104" s="236">
        <v>10</v>
      </c>
      <c r="C104" s="51" t="s">
        <v>50</v>
      </c>
      <c r="D104" s="52"/>
      <c r="E104" s="52"/>
      <c r="F104" s="53"/>
      <c r="G104" s="53"/>
      <c r="H104" s="54"/>
      <c r="I104" s="83"/>
      <c r="J104" s="215"/>
      <c r="L104" s="4"/>
      <c r="M104" s="4"/>
    </row>
    <row r="105" spans="2:17" ht="13.5" thickBot="1" x14ac:dyDescent="0.25">
      <c r="B105" s="238"/>
      <c r="C105" s="239" t="s">
        <v>39</v>
      </c>
      <c r="D105" s="242"/>
      <c r="E105" s="240">
        <v>0.21</v>
      </c>
      <c r="F105" s="241"/>
      <c r="G105" s="242"/>
      <c r="H105" s="243"/>
      <c r="I105" s="244">
        <f>I102*(1+E105)</f>
        <v>2819025.3642276335</v>
      </c>
      <c r="J105" s="199">
        <f>I105/Samenvatting!$G$55</f>
        <v>2819.0253642276334</v>
      </c>
      <c r="L105" s="4"/>
      <c r="M105" s="4"/>
    </row>
    <row r="106" spans="2:17" x14ac:dyDescent="0.2">
      <c r="E106" s="264"/>
      <c r="L106" s="4"/>
      <c r="M106" s="4"/>
    </row>
    <row r="107" spans="2:17" s="372" customFormat="1" x14ac:dyDescent="0.2">
      <c r="B107" s="372" t="s">
        <v>131</v>
      </c>
      <c r="E107" s="493">
        <f>SUM(I102-I53)</f>
        <v>355454.83978002029</v>
      </c>
      <c r="F107" s="494">
        <f>SUM(E107/E110)</f>
        <v>0.10850981561011797</v>
      </c>
      <c r="G107" s="494">
        <f>SUM(E107/E111)</f>
        <v>0.1525705875483192</v>
      </c>
      <c r="I107" s="372" t="s">
        <v>257</v>
      </c>
      <c r="J107" s="373">
        <f>IFERROR(GETPIVOTDATA("GBO", revit_input_draaitabel!$A$30, "typologie_type", I107),0)</f>
        <v>0</v>
      </c>
    </row>
    <row r="108" spans="2:17" s="372" customFormat="1" x14ac:dyDescent="0.2">
      <c r="B108" s="372" t="s">
        <v>128</v>
      </c>
      <c r="E108" s="493">
        <f>I53</f>
        <v>1974318.1885072801</v>
      </c>
      <c r="F108" s="494">
        <f>SUM(E108/E110)</f>
        <v>0.60270076143346085</v>
      </c>
      <c r="G108" s="494">
        <f>SUM(E108/E111)</f>
        <v>0.8474294124516808</v>
      </c>
      <c r="I108" s="372" t="s">
        <v>100</v>
      </c>
      <c r="J108" s="373">
        <f>IFERROR(GETPIVOTDATA("GBO", revit_input_draaitabel!$A$30, "typologie_type", I108),0)</f>
        <v>800</v>
      </c>
      <c r="K108" s="495"/>
    </row>
    <row r="109" spans="2:17" s="372" customFormat="1" x14ac:dyDescent="0.2">
      <c r="B109" s="372" t="s">
        <v>130</v>
      </c>
      <c r="E109" s="493">
        <f>Samenvatting!F94</f>
        <v>946012.0956796417</v>
      </c>
      <c r="F109" s="494">
        <f>SUM(E109/E110)</f>
        <v>0.28878942295642113</v>
      </c>
      <c r="G109" s="494">
        <f>SUM(E109/E111)</f>
        <v>0.40605332974220631</v>
      </c>
      <c r="I109" s="372" t="s">
        <v>217</v>
      </c>
      <c r="J109" s="373">
        <f>IFERROR(GETPIVOTDATA("GBO", revit_input_draaitabel!$A$30, "typologie_type", I109),0)</f>
        <v>0</v>
      </c>
      <c r="K109" s="495"/>
    </row>
    <row r="110" spans="2:17" s="372" customFormat="1" x14ac:dyDescent="0.2">
      <c r="B110" s="372" t="s">
        <v>129</v>
      </c>
      <c r="E110" s="493">
        <f>SUM(E107:E109)</f>
        <v>3275785.1239669421</v>
      </c>
      <c r="F110" s="496">
        <v>1</v>
      </c>
      <c r="I110" s="372" t="s">
        <v>111</v>
      </c>
      <c r="J110" s="373">
        <f>IFERROR(GETPIVOTDATA("GBO", revit_input_draaitabel!$A$30, "typologie_type", I110),0)</f>
        <v>0</v>
      </c>
      <c r="K110" s="494"/>
    </row>
    <row r="111" spans="2:17" s="372" customFormat="1" x14ac:dyDescent="0.2">
      <c r="B111" s="372" t="s">
        <v>132</v>
      </c>
      <c r="E111" s="493">
        <f>I102</f>
        <v>2329773.0282873004</v>
      </c>
      <c r="G111" s="496">
        <v>1</v>
      </c>
      <c r="I111" s="493"/>
      <c r="J111" s="373"/>
      <c r="K111" s="494"/>
    </row>
    <row r="112" spans="2:17" x14ac:dyDescent="0.2">
      <c r="I112" s="486"/>
      <c r="J112" s="487"/>
      <c r="K112" s="4"/>
      <c r="L112" s="4"/>
      <c r="M112" s="4"/>
    </row>
    <row r="113" spans="5:13" x14ac:dyDescent="0.2">
      <c r="E113" s="488"/>
      <c r="K113" s="4"/>
      <c r="L113" s="4"/>
      <c r="M113" s="4"/>
    </row>
    <row r="114" spans="5:13" x14ac:dyDescent="0.2">
      <c r="E114" s="488"/>
      <c r="K114" s="4"/>
      <c r="L114" s="4"/>
      <c r="M114" s="4"/>
    </row>
    <row r="115" spans="5:13" x14ac:dyDescent="0.2">
      <c r="K115" s="4"/>
      <c r="L115" s="4"/>
      <c r="M115" s="4"/>
    </row>
    <row r="116" spans="5:13" x14ac:dyDescent="0.2">
      <c r="K116" s="4"/>
      <c r="L116" s="4"/>
      <c r="M116" s="4"/>
    </row>
    <row r="117" spans="5:13" x14ac:dyDescent="0.2">
      <c r="K117" s="4"/>
      <c r="L117" s="4"/>
      <c r="M117" s="4"/>
    </row>
    <row r="118" spans="5:13" x14ac:dyDescent="0.2">
      <c r="K118" s="4"/>
      <c r="L118" s="4"/>
      <c r="M118" s="4"/>
    </row>
    <row r="119" spans="5:13" x14ac:dyDescent="0.2">
      <c r="K119" s="4"/>
      <c r="L119" s="4"/>
      <c r="M119" s="4"/>
    </row>
    <row r="120" spans="5:13" x14ac:dyDescent="0.2">
      <c r="K120" s="4"/>
      <c r="L120" s="4"/>
      <c r="M120" s="4"/>
    </row>
    <row r="121" spans="5:13" x14ac:dyDescent="0.2">
      <c r="K121" s="4"/>
      <c r="L121" s="4"/>
      <c r="M121" s="4"/>
    </row>
    <row r="122" spans="5:13" x14ac:dyDescent="0.2">
      <c r="K122" s="4"/>
      <c r="L122" s="4"/>
      <c r="M122" s="4"/>
    </row>
    <row r="123" spans="5:13" x14ac:dyDescent="0.2">
      <c r="K123" s="4"/>
      <c r="L123" s="4"/>
      <c r="M123" s="4"/>
    </row>
    <row r="124" spans="5:13" x14ac:dyDescent="0.2">
      <c r="K124" s="4"/>
      <c r="L124" s="4"/>
      <c r="M124" s="4"/>
    </row>
    <row r="125" spans="5:13" x14ac:dyDescent="0.2">
      <c r="K125" s="4"/>
      <c r="L125" s="4"/>
      <c r="M125" s="4"/>
    </row>
    <row r="126" spans="5:13" x14ac:dyDescent="0.2">
      <c r="K126" s="4"/>
      <c r="L126" s="4"/>
      <c r="M126" s="4"/>
    </row>
    <row r="127" spans="5:13" x14ac:dyDescent="0.2">
      <c r="K127" s="4"/>
      <c r="L127" s="4"/>
      <c r="M127" s="4"/>
    </row>
    <row r="128" spans="5:13" x14ac:dyDescent="0.2">
      <c r="K128" s="4"/>
      <c r="L128" s="4"/>
      <c r="M128" s="4"/>
    </row>
    <row r="129" spans="11:13" x14ac:dyDescent="0.2">
      <c r="K129" s="4"/>
      <c r="L129" s="4"/>
      <c r="M129" s="4"/>
    </row>
    <row r="130" spans="11:13" x14ac:dyDescent="0.2">
      <c r="K130" s="4"/>
      <c r="L130" s="4"/>
      <c r="M130" s="4"/>
    </row>
    <row r="131" spans="11:13" x14ac:dyDescent="0.2">
      <c r="K131" s="4"/>
      <c r="L131" s="4"/>
      <c r="M131" s="4"/>
    </row>
    <row r="132" spans="11:13" x14ac:dyDescent="0.2">
      <c r="K132" s="4"/>
      <c r="L132" s="4"/>
      <c r="M132" s="4"/>
    </row>
    <row r="133" spans="11:13" x14ac:dyDescent="0.2">
      <c r="K133" s="4"/>
      <c r="L133" s="4"/>
      <c r="M133" s="4"/>
    </row>
    <row r="134" spans="11:13" x14ac:dyDescent="0.2">
      <c r="K134" s="4"/>
      <c r="L134" s="4"/>
      <c r="M134" s="4"/>
    </row>
    <row r="135" spans="11:13" x14ac:dyDescent="0.2">
      <c r="K135" s="4"/>
      <c r="L135" s="4"/>
      <c r="M135" s="4"/>
    </row>
    <row r="136" spans="11:13" x14ac:dyDescent="0.2">
      <c r="K136" s="4"/>
      <c r="L136" s="4"/>
      <c r="M136" s="4"/>
    </row>
    <row r="137" spans="11:13" x14ac:dyDescent="0.2">
      <c r="K137" s="4"/>
      <c r="L137" s="4"/>
      <c r="M137" s="4"/>
    </row>
    <row r="138" spans="11:13" x14ac:dyDescent="0.2">
      <c r="K138" s="4"/>
      <c r="L138" s="4"/>
      <c r="M138" s="4"/>
    </row>
    <row r="139" spans="11:13" x14ac:dyDescent="0.2">
      <c r="K139" s="4"/>
      <c r="L139" s="4"/>
      <c r="M139" s="4"/>
    </row>
    <row r="140" spans="11:13" x14ac:dyDescent="0.2">
      <c r="K140" s="4"/>
      <c r="L140" s="4"/>
      <c r="M140" s="4"/>
    </row>
    <row r="141" spans="11:13" x14ac:dyDescent="0.2">
      <c r="K141" s="4"/>
      <c r="L141" s="4"/>
      <c r="M141" s="4"/>
    </row>
    <row r="142" spans="11:13" x14ac:dyDescent="0.2">
      <c r="K142" s="4"/>
      <c r="L142" s="4"/>
      <c r="M142" s="4"/>
    </row>
    <row r="143" spans="11:13" x14ac:dyDescent="0.2">
      <c r="K143" s="4"/>
      <c r="L143" s="4"/>
      <c r="M143" s="4"/>
    </row>
    <row r="144" spans="11:13" x14ac:dyDescent="0.2">
      <c r="K144" s="4"/>
      <c r="L144" s="4"/>
      <c r="M144" s="4"/>
    </row>
    <row r="145" spans="11:13" x14ac:dyDescent="0.2">
      <c r="K145" s="4"/>
      <c r="L145" s="4"/>
      <c r="M145" s="4"/>
    </row>
    <row r="146" spans="11:13" x14ac:dyDescent="0.2">
      <c r="K146" s="4"/>
      <c r="L146" s="4"/>
      <c r="M146" s="4"/>
    </row>
    <row r="147" spans="11:13" x14ac:dyDescent="0.2">
      <c r="K147" s="4"/>
      <c r="L147" s="4"/>
      <c r="M147" s="4"/>
    </row>
    <row r="148" spans="11:13" x14ac:dyDescent="0.2">
      <c r="K148" s="4"/>
      <c r="L148" s="4"/>
      <c r="M148" s="4"/>
    </row>
    <row r="149" spans="11:13" x14ac:dyDescent="0.2">
      <c r="K149" s="4"/>
      <c r="L149" s="4"/>
      <c r="M149" s="4"/>
    </row>
    <row r="150" spans="11:13" x14ac:dyDescent="0.2">
      <c r="K150" s="4"/>
      <c r="L150" s="4"/>
      <c r="M150" s="4"/>
    </row>
    <row r="151" spans="11:13" x14ac:dyDescent="0.2">
      <c r="K151" s="4"/>
      <c r="L151" s="4"/>
      <c r="M151" s="4"/>
    </row>
    <row r="152" spans="11:13" x14ac:dyDescent="0.2">
      <c r="K152" s="4"/>
      <c r="L152" s="4"/>
      <c r="M152" s="4"/>
    </row>
    <row r="153" spans="11:13" x14ac:dyDescent="0.2">
      <c r="K153" s="4"/>
      <c r="L153" s="4"/>
      <c r="M153" s="4"/>
    </row>
    <row r="154" spans="11:13" x14ac:dyDescent="0.2">
      <c r="K154" s="4"/>
      <c r="L154" s="4"/>
      <c r="M154" s="4"/>
    </row>
    <row r="155" spans="11:13" x14ac:dyDescent="0.2">
      <c r="K155" s="4"/>
      <c r="L155" s="4"/>
      <c r="M155" s="4"/>
    </row>
    <row r="156" spans="11:13" x14ac:dyDescent="0.2">
      <c r="K156" s="4"/>
      <c r="L156" s="4"/>
      <c r="M156" s="4"/>
    </row>
    <row r="157" spans="11:13" x14ac:dyDescent="0.2">
      <c r="K157" s="4"/>
      <c r="L157" s="4"/>
      <c r="M157" s="4"/>
    </row>
    <row r="158" spans="11:13" x14ac:dyDescent="0.2">
      <c r="K158" s="4"/>
      <c r="L158" s="4"/>
      <c r="M158" s="4"/>
    </row>
    <row r="159" spans="11:13" x14ac:dyDescent="0.2">
      <c r="K159" s="4"/>
      <c r="L159" s="4"/>
      <c r="M159" s="4"/>
    </row>
    <row r="160" spans="11:13" x14ac:dyDescent="0.2">
      <c r="K160" s="4"/>
      <c r="L160" s="4"/>
      <c r="M160" s="4"/>
    </row>
    <row r="161" spans="11:13" x14ac:dyDescent="0.2">
      <c r="K161" s="4"/>
      <c r="L161" s="4"/>
      <c r="M161" s="4"/>
    </row>
    <row r="162" spans="11:13" x14ac:dyDescent="0.2">
      <c r="K162" s="4"/>
      <c r="L162" s="4"/>
      <c r="M162" s="4"/>
    </row>
    <row r="163" spans="11:13" x14ac:dyDescent="0.2">
      <c r="K163" s="4"/>
      <c r="L163" s="4"/>
      <c r="M163" s="4"/>
    </row>
    <row r="164" spans="11:13" x14ac:dyDescent="0.2">
      <c r="K164" s="4"/>
      <c r="L164" s="4"/>
      <c r="M164" s="4"/>
    </row>
    <row r="165" spans="11:13" x14ac:dyDescent="0.2">
      <c r="K165" s="4"/>
      <c r="L165" s="4"/>
      <c r="M165" s="4"/>
    </row>
    <row r="166" spans="11:13" x14ac:dyDescent="0.2">
      <c r="K166" s="4"/>
      <c r="L166" s="4"/>
      <c r="M166" s="4"/>
    </row>
    <row r="167" spans="11:13" x14ac:dyDescent="0.2">
      <c r="K167" s="4"/>
      <c r="L167" s="4"/>
      <c r="M167" s="4"/>
    </row>
    <row r="168" spans="11:13" x14ac:dyDescent="0.2">
      <c r="K168" s="4"/>
      <c r="L168" s="4"/>
      <c r="M168" s="4"/>
    </row>
    <row r="169" spans="11:13" x14ac:dyDescent="0.2">
      <c r="K169" s="4"/>
      <c r="L169" s="4"/>
      <c r="M169" s="4"/>
    </row>
    <row r="170" spans="11:13" x14ac:dyDescent="0.2">
      <c r="K170" s="4"/>
      <c r="L170" s="4"/>
      <c r="M170" s="4"/>
    </row>
    <row r="171" spans="11:13" x14ac:dyDescent="0.2">
      <c r="K171" s="4"/>
      <c r="L171" s="4"/>
      <c r="M171" s="4"/>
    </row>
    <row r="172" spans="11:13" x14ac:dyDescent="0.2">
      <c r="K172" s="4"/>
      <c r="L172" s="4"/>
      <c r="M172" s="4"/>
    </row>
    <row r="173" spans="11:13" x14ac:dyDescent="0.2">
      <c r="K173" s="4"/>
      <c r="L173" s="4"/>
      <c r="M173" s="4"/>
    </row>
    <row r="174" spans="11:13" x14ac:dyDescent="0.2">
      <c r="K174" s="4"/>
      <c r="L174" s="4"/>
      <c r="M174" s="4"/>
    </row>
    <row r="175" spans="11:13" x14ac:dyDescent="0.2">
      <c r="K175" s="4"/>
      <c r="L175" s="4"/>
      <c r="M175" s="4"/>
    </row>
    <row r="176" spans="11:13" x14ac:dyDescent="0.2">
      <c r="K176" s="4"/>
      <c r="L176" s="4"/>
      <c r="M176" s="4"/>
    </row>
    <row r="177" spans="11:13" x14ac:dyDescent="0.2">
      <c r="K177" s="4"/>
      <c r="L177" s="4"/>
      <c r="M177" s="4"/>
    </row>
    <row r="178" spans="11:13" x14ac:dyDescent="0.2">
      <c r="K178" s="4"/>
      <c r="L178" s="4"/>
      <c r="M178" s="4"/>
    </row>
    <row r="179" spans="11:13" x14ac:dyDescent="0.2">
      <c r="K179" s="4"/>
      <c r="L179" s="4"/>
      <c r="M179" s="4"/>
    </row>
    <row r="180" spans="11:13" x14ac:dyDescent="0.2">
      <c r="K180" s="4"/>
      <c r="L180" s="4"/>
      <c r="M180" s="4"/>
    </row>
    <row r="181" spans="11:13" x14ac:dyDescent="0.2">
      <c r="K181" s="4"/>
      <c r="L181" s="4"/>
      <c r="M181" s="4"/>
    </row>
  </sheetData>
  <mergeCells count="2">
    <mergeCell ref="E2:H2"/>
    <mergeCell ref="B3:I3"/>
  </mergeCells>
  <pageMargins left="0.7" right="0.7" top="0.75" bottom="0.75" header="0.3" footer="0.3"/>
  <pageSetup paperSize="8" scale="8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>
    <pageSetUpPr fitToPage="1"/>
  </sheetPr>
  <dimension ref="A1:T156"/>
  <sheetViews>
    <sheetView zoomScale="115" zoomScaleNormal="115" zoomScaleSheetLayoutView="115" workbookViewId="0">
      <selection activeCell="K9" sqref="K9:K18"/>
    </sheetView>
  </sheetViews>
  <sheetFormatPr defaultRowHeight="12.75" x14ac:dyDescent="0.2"/>
  <cols>
    <col min="1" max="1" width="2.7109375" style="56" customWidth="1"/>
    <col min="2" max="2" width="5.28515625" style="56" customWidth="1"/>
    <col min="3" max="3" width="14.42578125" style="56" customWidth="1"/>
    <col min="4" max="4" width="21.5703125" style="56" customWidth="1"/>
    <col min="5" max="5" width="15.5703125" style="56" bestFit="1" customWidth="1"/>
    <col min="6" max="6" width="14.5703125" style="56" bestFit="1" customWidth="1"/>
    <col min="7" max="7" width="3.5703125" style="56" customWidth="1"/>
    <col min="8" max="8" width="12" style="56" bestFit="1" customWidth="1"/>
    <col min="9" max="9" width="12" style="56" hidden="1" customWidth="1"/>
    <col min="10" max="10" width="9.42578125" style="56" bestFit="1" customWidth="1"/>
    <col min="11" max="11" width="18" style="56" bestFit="1" customWidth="1"/>
    <col min="12" max="12" width="12" style="56" bestFit="1" customWidth="1"/>
    <col min="13" max="14" width="12.7109375" style="59" customWidth="1"/>
    <col min="15" max="15" width="16.28515625" style="56" bestFit="1" customWidth="1"/>
    <col min="16" max="16" width="4.140625" style="59" bestFit="1" customWidth="1"/>
    <col min="17" max="17" width="19.42578125" style="59" bestFit="1" customWidth="1"/>
    <col min="18" max="18" width="8.5703125" style="59" bestFit="1" customWidth="1"/>
    <col min="19" max="19" width="9.7109375" style="59" bestFit="1" customWidth="1"/>
    <col min="20" max="20" width="8.85546875" style="59"/>
    <col min="21" max="16384" width="9.140625" style="56"/>
  </cols>
  <sheetData>
    <row r="1" spans="2:20" ht="13.5" thickBot="1" x14ac:dyDescent="0.25">
      <c r="B1" s="55"/>
      <c r="C1" s="55"/>
      <c r="D1" s="55"/>
      <c r="M1" s="56"/>
      <c r="N1" s="56"/>
      <c r="P1" s="56"/>
      <c r="Q1" s="56"/>
      <c r="R1" s="56"/>
      <c r="S1" s="56"/>
      <c r="T1" s="56"/>
    </row>
    <row r="2" spans="2:20" x14ac:dyDescent="0.2">
      <c r="B2" s="170"/>
      <c r="C2" s="171" t="s">
        <v>0</v>
      </c>
      <c r="D2" s="505"/>
      <c r="E2" s="172"/>
      <c r="F2" s="172"/>
      <c r="G2" s="172"/>
      <c r="H2" s="173"/>
      <c r="I2" s="251"/>
      <c r="J2" s="251"/>
      <c r="K2" s="174"/>
      <c r="L2" s="175"/>
      <c r="M2" s="56"/>
      <c r="N2" s="56"/>
      <c r="P2" s="56"/>
      <c r="Q2" s="56"/>
      <c r="R2" s="56"/>
      <c r="S2" s="56"/>
      <c r="T2" s="56"/>
    </row>
    <row r="3" spans="2:20" x14ac:dyDescent="0.2">
      <c r="B3" s="176"/>
      <c r="C3" s="85" t="s">
        <v>64</v>
      </c>
      <c r="D3" s="506"/>
      <c r="E3" s="84"/>
      <c r="F3" s="84"/>
      <c r="G3" s="84"/>
      <c r="H3" s="108">
        <v>0.04</v>
      </c>
      <c r="I3" s="252"/>
      <c r="J3" s="252"/>
      <c r="K3" s="58"/>
      <c r="L3" s="177"/>
      <c r="M3" s="56"/>
      <c r="N3" s="56"/>
      <c r="P3" s="56"/>
      <c r="Q3" s="56"/>
      <c r="R3" s="56"/>
      <c r="S3" s="56"/>
      <c r="T3" s="56"/>
    </row>
    <row r="4" spans="2:20" x14ac:dyDescent="0.2">
      <c r="B4" s="176"/>
      <c r="C4" s="85" t="s">
        <v>76</v>
      </c>
      <c r="D4" s="506"/>
      <c r="E4" s="84"/>
      <c r="F4" s="84"/>
      <c r="G4" s="84"/>
      <c r="H4" s="109">
        <v>230000</v>
      </c>
      <c r="I4" s="253"/>
      <c r="J4" s="253"/>
      <c r="K4" s="58"/>
      <c r="L4" s="177"/>
      <c r="M4" s="56"/>
      <c r="N4" s="56"/>
      <c r="P4" s="56"/>
      <c r="Q4" s="56"/>
      <c r="R4" s="56"/>
      <c r="S4" s="56"/>
      <c r="T4" s="56"/>
    </row>
    <row r="5" spans="2:20" x14ac:dyDescent="0.2">
      <c r="B5" s="178"/>
      <c r="C5" s="111"/>
      <c r="D5" s="111"/>
      <c r="E5" s="111"/>
      <c r="F5" s="111"/>
      <c r="G5" s="111"/>
      <c r="H5" s="111"/>
      <c r="I5" s="111"/>
      <c r="J5" s="111"/>
      <c r="K5" s="111"/>
      <c r="L5" s="179"/>
    </row>
    <row r="6" spans="2:20" x14ac:dyDescent="0.2">
      <c r="B6" s="180"/>
      <c r="C6" s="365" t="s">
        <v>63</v>
      </c>
      <c r="D6" s="507"/>
      <c r="E6" s="86"/>
      <c r="F6" s="86"/>
      <c r="G6" s="86"/>
      <c r="H6" s="86"/>
      <c r="I6" s="86"/>
      <c r="J6" s="86"/>
      <c r="K6" s="86"/>
      <c r="L6" s="181"/>
    </row>
    <row r="7" spans="2:20" ht="3.95" customHeight="1" x14ac:dyDescent="0.2">
      <c r="B7" s="176"/>
      <c r="L7" s="182"/>
      <c r="N7" s="56"/>
    </row>
    <row r="8" spans="2:20" x14ac:dyDescent="0.2">
      <c r="B8" s="183">
        <v>1</v>
      </c>
      <c r="C8" s="87" t="s">
        <v>43</v>
      </c>
      <c r="D8" s="508"/>
      <c r="E8" s="255"/>
      <c r="F8" s="255" t="s">
        <v>120</v>
      </c>
      <c r="G8" s="89"/>
      <c r="H8" s="84" t="s">
        <v>117</v>
      </c>
      <c r="I8" s="84" t="s">
        <v>258</v>
      </c>
      <c r="J8" s="84"/>
      <c r="K8" s="90" t="s">
        <v>260</v>
      </c>
      <c r="L8" s="500"/>
    </row>
    <row r="9" spans="2:20" x14ac:dyDescent="0.2">
      <c r="B9" s="184"/>
      <c r="C9" s="91" t="s">
        <v>261</v>
      </c>
      <c r="D9" s="509" t="s">
        <v>100</v>
      </c>
      <c r="E9" s="59" t="s">
        <v>96</v>
      </c>
      <c r="F9" s="92">
        <v>0</v>
      </c>
      <c r="G9" s="93"/>
      <c r="H9" s="498">
        <f>IFERROR(GETPIVOTDATA("GBO", revit_input_draaitabel!$A$2, "typologie", E9, "typologie_type", $D$9),0)</f>
        <v>0</v>
      </c>
      <c r="I9" s="498">
        <f>IFERROR(GETPIVOTDATA("GBO_fictief", revit_input_draaitabel!$A$2, "typologie", E9, "typologie_type", $D$9),0)</f>
        <v>0</v>
      </c>
      <c r="K9" s="122">
        <v>5000</v>
      </c>
      <c r="L9" s="501">
        <f t="shared" ref="L9:L23" si="0">SUM(K9*I9*F9)</f>
        <v>0</v>
      </c>
    </row>
    <row r="10" spans="2:20" x14ac:dyDescent="0.2">
      <c r="B10" s="185"/>
      <c r="C10" s="94"/>
      <c r="D10" s="509"/>
      <c r="E10" s="59" t="s">
        <v>114</v>
      </c>
      <c r="F10" s="60">
        <v>0</v>
      </c>
      <c r="G10" s="59"/>
      <c r="H10" s="498">
        <f>IFERROR(GETPIVOTDATA("GBO", revit_input_draaitabel!$A$2, "typologie", E10, "typologie_type", $D$9),0)</f>
        <v>0</v>
      </c>
      <c r="I10" s="498">
        <f>IFERROR(GETPIVOTDATA("GBO_fictief", revit_input_draaitabel!$A$2, "typologie", E10, "typologie_type", $D$9),0)</f>
        <v>0</v>
      </c>
      <c r="K10" s="122">
        <v>5000</v>
      </c>
      <c r="L10" s="501">
        <f t="shared" si="0"/>
        <v>0</v>
      </c>
    </row>
    <row r="11" spans="2:20" x14ac:dyDescent="0.2">
      <c r="B11" s="185"/>
      <c r="C11" s="94"/>
      <c r="D11" s="509"/>
      <c r="E11" s="59" t="s">
        <v>136</v>
      </c>
      <c r="F11" s="60">
        <v>0</v>
      </c>
      <c r="G11" s="59"/>
      <c r="H11" s="498">
        <f>IFERROR(GETPIVOTDATA("GBO", revit_input_draaitabel!$A$2, "typologie", E11, "typologie_type", $D$9),0)</f>
        <v>0</v>
      </c>
      <c r="I11" s="498">
        <f>IFERROR(GETPIVOTDATA("GBO_fictief", revit_input_draaitabel!$A$2, "typologie", E11, "typologie_type", $D$9),0)</f>
        <v>0</v>
      </c>
      <c r="K11" s="122">
        <v>5000</v>
      </c>
      <c r="L11" s="501">
        <f t="shared" si="0"/>
        <v>0</v>
      </c>
    </row>
    <row r="12" spans="2:20" x14ac:dyDescent="0.2">
      <c r="B12" s="185"/>
      <c r="C12" s="94"/>
      <c r="D12" s="509"/>
      <c r="E12" s="59" t="s">
        <v>170</v>
      </c>
      <c r="F12" s="60">
        <v>0</v>
      </c>
      <c r="G12" s="59"/>
      <c r="H12" s="498">
        <f>IFERROR(GETPIVOTDATA("GBO", revit_input_draaitabel!$A$2, "typologie", E12, "typologie_type", $D$9),0)</f>
        <v>0</v>
      </c>
      <c r="I12" s="498">
        <f>IFERROR(GETPIVOTDATA("GBO_fictief", revit_input_draaitabel!$A$2, "typologie", E12, "typologie_type", $D$9),0)</f>
        <v>0</v>
      </c>
      <c r="K12" s="122">
        <v>5000</v>
      </c>
      <c r="L12" s="501">
        <f t="shared" si="0"/>
        <v>0</v>
      </c>
    </row>
    <row r="13" spans="2:20" x14ac:dyDescent="0.2">
      <c r="B13" s="185"/>
      <c r="C13" s="94"/>
      <c r="D13" s="509"/>
      <c r="E13" s="59" t="s">
        <v>126</v>
      </c>
      <c r="F13" s="60">
        <v>1</v>
      </c>
      <c r="G13" s="59"/>
      <c r="H13" s="498">
        <f>IFERROR(GETPIVOTDATA("GBO", revit_input_draaitabel!$A$2, "typologie", E13, "typologie_type", $D$9),0)</f>
        <v>800</v>
      </c>
      <c r="I13" s="498">
        <f>IFERROR(GETPIVOTDATA("GBO_fictief", revit_input_draaitabel!$A$2, "typologie", E13, "typologie_type", $D$9),0)</f>
        <v>800</v>
      </c>
      <c r="K13" s="122">
        <v>5000</v>
      </c>
      <c r="L13" s="501">
        <f t="shared" si="0"/>
        <v>4000000</v>
      </c>
    </row>
    <row r="14" spans="2:20" x14ac:dyDescent="0.2">
      <c r="B14" s="515"/>
      <c r="C14" s="509"/>
      <c r="D14" s="509"/>
      <c r="E14" s="59" t="s">
        <v>127</v>
      </c>
      <c r="F14" s="60">
        <v>1</v>
      </c>
      <c r="G14" s="59"/>
      <c r="H14" s="498">
        <f>IFERROR(GETPIVOTDATA("GBO", revit_input_draaitabel!$A$2, "typologie", E14, "typologie_type", $D$9),0)</f>
        <v>0</v>
      </c>
      <c r="I14" s="498">
        <f>IFERROR(GETPIVOTDATA("GBO_fictief", revit_input_draaitabel!$A$2, "typologie", E14, "typologie_type", $D$9),0)</f>
        <v>0</v>
      </c>
      <c r="K14" s="122">
        <v>5000</v>
      </c>
      <c r="L14" s="501">
        <f t="shared" si="0"/>
        <v>0</v>
      </c>
    </row>
    <row r="15" spans="2:20" x14ac:dyDescent="0.2">
      <c r="B15" s="515"/>
      <c r="D15" s="510" t="s">
        <v>238</v>
      </c>
      <c r="E15" s="376" t="s">
        <v>236</v>
      </c>
      <c r="F15" s="60">
        <v>1</v>
      </c>
      <c r="G15" s="59"/>
      <c r="H15" s="498">
        <f>IFERROR(GETPIVOTDATA("GBO", revit_input_draaitabel!$A$20, "woning_grootte", E15),0)</f>
        <v>0</v>
      </c>
      <c r="I15" s="498">
        <f>IFERROR(GETPIVOTDATA("GBO_fictief", revit_input_draaitabel!$A$20, "woning_grootte", E15),0)</f>
        <v>0</v>
      </c>
      <c r="K15" s="122">
        <v>5150</v>
      </c>
      <c r="L15" s="501">
        <f t="shared" si="0"/>
        <v>0</v>
      </c>
    </row>
    <row r="16" spans="2:20" x14ac:dyDescent="0.2">
      <c r="B16" s="515"/>
      <c r="D16" s="510" t="s">
        <v>238</v>
      </c>
      <c r="E16" s="376" t="s">
        <v>235</v>
      </c>
      <c r="F16" s="60">
        <v>1</v>
      </c>
      <c r="G16" s="59"/>
      <c r="H16" s="498">
        <f>IFERROR(GETPIVOTDATA("GBO", revit_input_draaitabel!$A$20, "woning_grootte", E16),0)</f>
        <v>0</v>
      </c>
      <c r="I16" s="498">
        <f>IFERROR(GETPIVOTDATA("GBO_fictief", revit_input_draaitabel!$A$20, "woning_grootte", E16),0)</f>
        <v>0</v>
      </c>
      <c r="K16" s="122">
        <v>4850</v>
      </c>
      <c r="L16" s="501">
        <f t="shared" si="0"/>
        <v>0</v>
      </c>
      <c r="O16" s="390"/>
    </row>
    <row r="17" spans="2:14" x14ac:dyDescent="0.2">
      <c r="B17" s="515"/>
      <c r="D17" s="510" t="s">
        <v>238</v>
      </c>
      <c r="E17" s="376" t="s">
        <v>237</v>
      </c>
      <c r="F17" s="60">
        <v>1</v>
      </c>
      <c r="G17" s="59"/>
      <c r="H17" s="498">
        <f>IFERROR(GETPIVOTDATA("GBO", revit_input_draaitabel!$A$20, "woning_grootte", E17),0)</f>
        <v>0</v>
      </c>
      <c r="I17" s="498">
        <f>IFERROR(GETPIVOTDATA("GBO_fictief", revit_input_draaitabel!$A$20, "woning_grootte", E17),0)</f>
        <v>0</v>
      </c>
      <c r="K17" s="122">
        <v>4600</v>
      </c>
      <c r="L17" s="501">
        <f t="shared" si="0"/>
        <v>0</v>
      </c>
    </row>
    <row r="18" spans="2:14" ht="15" x14ac:dyDescent="0.2">
      <c r="B18" s="515"/>
      <c r="D18" s="510" t="s">
        <v>262</v>
      </c>
      <c r="E18" s="376" t="s">
        <v>12</v>
      </c>
      <c r="F18" s="60">
        <v>1</v>
      </c>
      <c r="G18" s="59"/>
      <c r="H18" s="498">
        <f>IFERROR(GETPIVOTDATA("GBO", revit_input_draaitabel!$A$2, "typologie", E19, "typologie_type", $D$19),0)</f>
        <v>0</v>
      </c>
      <c r="I18" s="498">
        <f>IFERROR(GETPIVOTDATA("GBO_fictief", revit_input_draaitabel!$A$2, "typologie", E19, "typologie_type", $D$19),0)</f>
        <v>0</v>
      </c>
      <c r="K18" s="122">
        <v>4600</v>
      </c>
      <c r="L18" s="501">
        <f t="shared" si="0"/>
        <v>0</v>
      </c>
    </row>
    <row r="19" spans="2:14" ht="13.5" customHeight="1" x14ac:dyDescent="0.2">
      <c r="B19" s="185"/>
      <c r="C19" s="94"/>
      <c r="D19" s="509" t="s">
        <v>259</v>
      </c>
      <c r="E19" s="366" t="s">
        <v>96</v>
      </c>
      <c r="F19" s="367">
        <v>1</v>
      </c>
      <c r="G19" s="366"/>
      <c r="H19" s="497">
        <f>IFERROR(GETPIVOTDATA("GBO", revit_input_draaitabel!$A$2, "typologie", E20, "typologie_type", $D$19),0)</f>
        <v>0</v>
      </c>
      <c r="I19" s="497">
        <f>IFERROR(GETPIVOTDATA("GBO_fictief", revit_input_draaitabel!$A$2, "typologie", E20, "typologie_type", $D$19),0)</f>
        <v>0</v>
      </c>
      <c r="K19" s="368">
        <v>0</v>
      </c>
      <c r="L19" s="502">
        <f t="shared" si="0"/>
        <v>0</v>
      </c>
    </row>
    <row r="20" spans="2:14" ht="13.5" customHeight="1" x14ac:dyDescent="0.2">
      <c r="B20" s="185"/>
      <c r="C20" s="94"/>
      <c r="D20" s="509"/>
      <c r="E20" s="366" t="s">
        <v>114</v>
      </c>
      <c r="F20" s="367">
        <v>1</v>
      </c>
      <c r="G20" s="366"/>
      <c r="H20" s="497">
        <f>IFERROR(GETPIVOTDATA("GBO", revit_input_draaitabel!$A$2, "typologie", E21, "typologie_type", $D$19),0)</f>
        <v>0</v>
      </c>
      <c r="I20" s="497">
        <f>IFERROR(GETPIVOTDATA("GBO_fictief", revit_input_draaitabel!$A$2, "typologie", E21, "typologie_type", $D$19),0)</f>
        <v>0</v>
      </c>
      <c r="K20" s="368">
        <v>0</v>
      </c>
      <c r="L20" s="502">
        <f t="shared" si="0"/>
        <v>0</v>
      </c>
    </row>
    <row r="21" spans="2:14" ht="13.5" customHeight="1" x14ac:dyDescent="0.2">
      <c r="B21" s="185"/>
      <c r="C21" s="362"/>
      <c r="D21" s="511"/>
      <c r="E21" s="366" t="s">
        <v>103</v>
      </c>
      <c r="F21" s="367">
        <v>1</v>
      </c>
      <c r="G21" s="366"/>
      <c r="H21" s="497">
        <f>IFERROR(GETPIVOTDATA("GBO", revit_input_draaitabel!$A$2, "typologie", E22, "typologie_type", $D$19),0)</f>
        <v>0</v>
      </c>
      <c r="I21" s="497">
        <f>IFERROR(GETPIVOTDATA("GBO_fictief", revit_input_draaitabel!$A$2, "typologie", E22, "typologie_type", $D$19),0)</f>
        <v>0</v>
      </c>
      <c r="K21" s="368">
        <v>0</v>
      </c>
      <c r="L21" s="502">
        <f t="shared" si="0"/>
        <v>0</v>
      </c>
    </row>
    <row r="22" spans="2:14" ht="13.5" customHeight="1" x14ac:dyDescent="0.2">
      <c r="B22" s="185"/>
      <c r="C22" s="94"/>
      <c r="D22" s="509"/>
      <c r="E22" s="59" t="s">
        <v>126</v>
      </c>
      <c r="F22" s="367">
        <v>1</v>
      </c>
      <c r="G22" s="366"/>
      <c r="H22" s="497">
        <f>IFERROR(GETPIVOTDATA("GBO", revit_input_draaitabel!$A$2, "typologie", E23, "typologie_type", $D$19),0)</f>
        <v>0</v>
      </c>
      <c r="I22" s="497">
        <f>IFERROR(GETPIVOTDATA("GBO_fictief", revit_input_draaitabel!$A$2, "typologie", E23, "typologie_type", $D$19),0)</f>
        <v>0</v>
      </c>
      <c r="K22" s="368">
        <v>0</v>
      </c>
      <c r="L22" s="502">
        <f t="shared" si="0"/>
        <v>0</v>
      </c>
      <c r="N22" s="363"/>
    </row>
    <row r="23" spans="2:14" ht="13.5" customHeight="1" x14ac:dyDescent="0.2">
      <c r="B23" s="185"/>
      <c r="C23" s="94"/>
      <c r="D23" s="509"/>
      <c r="E23" s="59" t="s">
        <v>127</v>
      </c>
      <c r="F23" s="367">
        <v>1</v>
      </c>
      <c r="G23" s="366"/>
      <c r="H23" s="497">
        <f>IFERROR(GETPIVOTDATA("GBO", revit_input_draaitabel!$A$2, "typologie", E24, "typologie_type", $D$19),0)</f>
        <v>0</v>
      </c>
      <c r="I23" s="497">
        <f>IFERROR(GETPIVOTDATA("GBO_fictief", revit_input_draaitabel!$A$2, "typologie", E24, "typologie_type", $D$19),0)</f>
        <v>0</v>
      </c>
      <c r="K23" s="368">
        <v>0</v>
      </c>
      <c r="L23" s="502">
        <f t="shared" si="0"/>
        <v>0</v>
      </c>
    </row>
    <row r="24" spans="2:14" x14ac:dyDescent="0.2">
      <c r="B24" s="186"/>
      <c r="C24" s="95" t="s">
        <v>40</v>
      </c>
      <c r="D24" s="64"/>
      <c r="F24" s="64"/>
      <c r="G24" s="64"/>
      <c r="H24" s="489"/>
      <c r="I24" s="489"/>
      <c r="J24" s="64"/>
      <c r="K24" s="96"/>
      <c r="L24" s="388">
        <f>L9+L10+L11+L12+L13+L14+L19+L20+L21+L22+L23+L15+L16+L17+L18</f>
        <v>4000000</v>
      </c>
    </row>
    <row r="25" spans="2:14" ht="3.95" customHeight="1" x14ac:dyDescent="0.2">
      <c r="B25" s="176"/>
      <c r="E25" s="88"/>
      <c r="H25" s="490"/>
      <c r="I25" s="490"/>
      <c r="L25" s="182"/>
    </row>
    <row r="26" spans="2:14" x14ac:dyDescent="0.2">
      <c r="B26" s="183">
        <v>2</v>
      </c>
      <c r="C26" s="87" t="s">
        <v>41</v>
      </c>
      <c r="D26" s="508"/>
      <c r="E26" s="88"/>
      <c r="F26" s="88" t="s">
        <v>93</v>
      </c>
      <c r="G26" s="89"/>
      <c r="H26" s="491" t="s">
        <v>117</v>
      </c>
      <c r="I26" s="491" t="s">
        <v>258</v>
      </c>
      <c r="J26" s="97" t="s">
        <v>94</v>
      </c>
      <c r="K26" s="90" t="s">
        <v>260</v>
      </c>
      <c r="L26" s="500"/>
    </row>
    <row r="27" spans="2:14" x14ac:dyDescent="0.2">
      <c r="B27" s="184"/>
      <c r="C27" s="91" t="s">
        <v>261</v>
      </c>
      <c r="D27" s="509" t="s">
        <v>99</v>
      </c>
      <c r="E27" s="59" t="s">
        <v>96</v>
      </c>
      <c r="F27" s="92">
        <v>1</v>
      </c>
      <c r="G27" s="93"/>
      <c r="H27" s="499">
        <f>IFERROR(GETPIVOTDATA("GBO", revit_input_draaitabel!$A$2, "typologie", E27, "typologie_type", $D$27),0)</f>
        <v>0</v>
      </c>
      <c r="I27" s="498">
        <f>IFERROR(GETPIVOTDATA("GBO_fictief", revit_input_draaitabel!$A$2, "typologie", E27, "typologie_type", $D$27),0)</f>
        <v>0</v>
      </c>
      <c r="J27" s="133">
        <v>17</v>
      </c>
      <c r="K27" s="127">
        <f>(J27*12)/$H$3</f>
        <v>5100</v>
      </c>
      <c r="L27" s="501">
        <f>SUM(K27*I27*F27)</f>
        <v>0</v>
      </c>
    </row>
    <row r="28" spans="2:14" x14ac:dyDescent="0.2">
      <c r="B28" s="185"/>
      <c r="C28" s="94"/>
      <c r="D28" s="509"/>
      <c r="E28" s="59" t="s">
        <v>114</v>
      </c>
      <c r="F28" s="60">
        <v>1</v>
      </c>
      <c r="G28" s="59"/>
      <c r="H28" s="498">
        <f>IFERROR(GETPIVOTDATA("GBO", revit_input_draaitabel!$A$2, "typologie", E28, "typologie_type", $D$27),0)</f>
        <v>0</v>
      </c>
      <c r="I28" s="498">
        <f>IFERROR(GETPIVOTDATA("GBO_fictief", revit_input_draaitabel!$A$2, "typologie", E28, "typologie_type", $D$27),0)</f>
        <v>0</v>
      </c>
      <c r="J28" s="134">
        <v>17</v>
      </c>
      <c r="K28" s="127">
        <v>5100</v>
      </c>
      <c r="L28" s="501">
        <f t="shared" ref="L28:L37" si="1">SUM(K28*I28*F28)</f>
        <v>0</v>
      </c>
    </row>
    <row r="29" spans="2:14" x14ac:dyDescent="0.2">
      <c r="B29" s="185"/>
      <c r="C29" s="94"/>
      <c r="D29" s="509"/>
      <c r="E29" s="59" t="s">
        <v>136</v>
      </c>
      <c r="F29" s="60">
        <v>1</v>
      </c>
      <c r="G29" s="59"/>
      <c r="H29" s="498">
        <f>IFERROR(GETPIVOTDATA("GBO", revit_input_draaitabel!$A$2, "typologie", E29, "typologie_type", $D$27),0)</f>
        <v>0</v>
      </c>
      <c r="I29" s="498">
        <f>IFERROR(GETPIVOTDATA("GBO_fictief", revit_input_draaitabel!$A$2, "typologie", E29, "typologie_type", $D$27),0)</f>
        <v>0</v>
      </c>
      <c r="J29" s="134">
        <v>17</v>
      </c>
      <c r="K29" s="127">
        <f>(J29*12)/$H$3</f>
        <v>5100</v>
      </c>
      <c r="L29" s="501">
        <f t="shared" si="1"/>
        <v>0</v>
      </c>
    </row>
    <row r="30" spans="2:14" x14ac:dyDescent="0.2">
      <c r="B30" s="185"/>
      <c r="C30" s="94"/>
      <c r="D30" s="509"/>
      <c r="E30" s="59" t="s">
        <v>170</v>
      </c>
      <c r="F30" s="60">
        <v>1</v>
      </c>
      <c r="G30" s="59"/>
      <c r="H30" s="498">
        <f>IFERROR(GETPIVOTDATA("GBO", revit_input_draaitabel!$A$2, "typologie", E30, "typologie_type", $D$27),0)</f>
        <v>0</v>
      </c>
      <c r="I30" s="498">
        <f>IFERROR(GETPIVOTDATA("GBO_fictief", revit_input_draaitabel!$A$2, "typologie", E30, "typologie_type", $D$27),0)</f>
        <v>0</v>
      </c>
      <c r="J30" s="134">
        <v>17</v>
      </c>
      <c r="K30" s="127">
        <f t="shared" ref="K30" si="2">(J30*12)/$H$3</f>
        <v>5100</v>
      </c>
      <c r="L30" s="501">
        <f t="shared" si="1"/>
        <v>0</v>
      </c>
    </row>
    <row r="31" spans="2:14" x14ac:dyDescent="0.2">
      <c r="B31" s="185"/>
      <c r="C31" s="94"/>
      <c r="D31" s="509"/>
      <c r="E31" s="59" t="s">
        <v>126</v>
      </c>
      <c r="F31" s="60">
        <v>1</v>
      </c>
      <c r="G31" s="59"/>
      <c r="H31" s="498">
        <f>IFERROR(GETPIVOTDATA("GBO", revit_input_draaitabel!$A$2, "typologie", E31, "typologie_type", $D$27),0)</f>
        <v>0</v>
      </c>
      <c r="I31" s="498">
        <f>IFERROR(GETPIVOTDATA("GBO_fictief", revit_input_draaitabel!$A$2, "typologie", E31, "typologie_type", $D$27),0)</f>
        <v>0</v>
      </c>
      <c r="J31" s="134">
        <v>17</v>
      </c>
      <c r="K31" s="127">
        <f t="shared" ref="K31:K37" si="3">(J31*12)/$H$3</f>
        <v>5100</v>
      </c>
      <c r="L31" s="501">
        <f t="shared" si="1"/>
        <v>0</v>
      </c>
    </row>
    <row r="32" spans="2:14" x14ac:dyDescent="0.2">
      <c r="B32" s="185"/>
      <c r="C32" s="94"/>
      <c r="D32" s="509"/>
      <c r="E32" s="59" t="s">
        <v>127</v>
      </c>
      <c r="F32" s="60">
        <v>1</v>
      </c>
      <c r="G32" s="59"/>
      <c r="H32" s="498">
        <f>IFERROR(GETPIVOTDATA("GBO", revit_input_draaitabel!$A$2, "typologie", E32, "typologie_type", $D$27),0)</f>
        <v>0</v>
      </c>
      <c r="I32" s="498">
        <f>IFERROR(GETPIVOTDATA("GBO_fictief", revit_input_draaitabel!$A$2, "typologie", E32, "typologie_type", $D$27),0)</f>
        <v>0</v>
      </c>
      <c r="J32" s="134">
        <v>17</v>
      </c>
      <c r="K32" s="127">
        <f t="shared" si="3"/>
        <v>5100</v>
      </c>
      <c r="L32" s="501">
        <f t="shared" si="1"/>
        <v>0</v>
      </c>
    </row>
    <row r="33" spans="2:12" ht="13.5" customHeight="1" x14ac:dyDescent="0.2">
      <c r="B33" s="185"/>
      <c r="C33" s="94"/>
      <c r="D33" s="509" t="s">
        <v>217</v>
      </c>
      <c r="E33" s="59" t="s">
        <v>96</v>
      </c>
      <c r="F33" s="60">
        <v>1</v>
      </c>
      <c r="G33" s="59"/>
      <c r="H33" s="498">
        <f>IFERROR(GETPIVOTDATA("GBO", revit_input_draaitabel!$A$2, "typologie", E33, "typologie_type", $D$33),0)</f>
        <v>0</v>
      </c>
      <c r="I33" s="498">
        <f>IFERROR(GETPIVOTDATA("GBO_fictief", revit_input_draaitabel!$A$2, "typologie", E33, "typologie_type", $D$33),0)</f>
        <v>0</v>
      </c>
      <c r="J33" s="134">
        <v>17</v>
      </c>
      <c r="K33" s="127">
        <f t="shared" si="3"/>
        <v>5100</v>
      </c>
      <c r="L33" s="501">
        <f t="shared" si="1"/>
        <v>0</v>
      </c>
    </row>
    <row r="34" spans="2:12" ht="13.5" customHeight="1" x14ac:dyDescent="0.2">
      <c r="B34" s="185"/>
      <c r="C34" s="94"/>
      <c r="D34" s="509"/>
      <c r="E34" s="59" t="s">
        <v>114</v>
      </c>
      <c r="F34" s="60">
        <v>1</v>
      </c>
      <c r="G34" s="59"/>
      <c r="H34" s="498">
        <f>IFERROR(GETPIVOTDATA("GBO", revit_input_draaitabel!$A$2, "typologie", E34, "typologie_type", $D$33),0)</f>
        <v>0</v>
      </c>
      <c r="I34" s="498">
        <f>IFERROR(GETPIVOTDATA("GBO_fictief", revit_input_draaitabel!$A$2, "typologie", E34, "typologie_type", $D$33),0)</f>
        <v>0</v>
      </c>
      <c r="J34" s="134">
        <v>17</v>
      </c>
      <c r="K34" s="127">
        <f t="shared" si="3"/>
        <v>5100</v>
      </c>
      <c r="L34" s="501">
        <f t="shared" si="1"/>
        <v>0</v>
      </c>
    </row>
    <row r="35" spans="2:12" ht="13.5" customHeight="1" x14ac:dyDescent="0.2">
      <c r="B35" s="185"/>
      <c r="C35" s="94"/>
      <c r="D35" s="509"/>
      <c r="E35" s="59" t="s">
        <v>136</v>
      </c>
      <c r="F35" s="60">
        <v>1</v>
      </c>
      <c r="G35" s="59"/>
      <c r="H35" s="498">
        <f>IFERROR(GETPIVOTDATA("GBO", revit_input_draaitabel!$A$2, "typologie", E35, "typologie_type", $D$33),0)</f>
        <v>0</v>
      </c>
      <c r="I35" s="498">
        <f>IFERROR(GETPIVOTDATA("GBO_fictief", revit_input_draaitabel!$A$2, "typologie", E35, "typologie_type", $D$33),0)</f>
        <v>0</v>
      </c>
      <c r="J35" s="134">
        <v>17</v>
      </c>
      <c r="K35" s="127">
        <f t="shared" si="3"/>
        <v>5100</v>
      </c>
      <c r="L35" s="501">
        <f t="shared" si="1"/>
        <v>0</v>
      </c>
    </row>
    <row r="36" spans="2:12" ht="13.5" customHeight="1" x14ac:dyDescent="0.2">
      <c r="B36" s="185"/>
      <c r="C36" s="94"/>
      <c r="D36" s="509"/>
      <c r="E36" s="59" t="s">
        <v>126</v>
      </c>
      <c r="F36" s="60">
        <v>1</v>
      </c>
      <c r="G36" s="59"/>
      <c r="H36" s="498">
        <f>IFERROR(GETPIVOTDATA("GBO", revit_input_draaitabel!$A$2, "typologie", E36, "typologie_type", $D$33),0)</f>
        <v>0</v>
      </c>
      <c r="I36" s="498">
        <f>IFERROR(GETPIVOTDATA("GBO_fictief", revit_input_draaitabel!$A$2, "typologie", E36, "typologie_type", $D$33),0)</f>
        <v>0</v>
      </c>
      <c r="J36" s="134">
        <v>17</v>
      </c>
      <c r="K36" s="127">
        <f t="shared" si="3"/>
        <v>5100</v>
      </c>
      <c r="L36" s="501">
        <f t="shared" si="1"/>
        <v>0</v>
      </c>
    </row>
    <row r="37" spans="2:12" ht="13.5" customHeight="1" x14ac:dyDescent="0.2">
      <c r="B37" s="185"/>
      <c r="C37" s="94"/>
      <c r="D37" s="509"/>
      <c r="E37" s="59" t="s">
        <v>127</v>
      </c>
      <c r="F37" s="60">
        <v>1</v>
      </c>
      <c r="G37" s="59"/>
      <c r="H37" s="498">
        <f>IFERROR(GETPIVOTDATA("GBO", revit_input_draaitabel!$A$2, "typologie", E37, "typologie_type", $D$33),0)</f>
        <v>0</v>
      </c>
      <c r="I37" s="498">
        <f>IFERROR(GETPIVOTDATA("GBO_fictief", revit_input_draaitabel!$A$2, "typologie", E37, "typologie_type", $D$33),0)</f>
        <v>0</v>
      </c>
      <c r="J37" s="134">
        <v>17</v>
      </c>
      <c r="K37" s="127">
        <f t="shared" si="3"/>
        <v>5100</v>
      </c>
      <c r="L37" s="501">
        <f t="shared" si="1"/>
        <v>0</v>
      </c>
    </row>
    <row r="38" spans="2:12" x14ac:dyDescent="0.2">
      <c r="B38" s="186"/>
      <c r="C38" s="95" t="s">
        <v>40</v>
      </c>
      <c r="D38" s="64"/>
      <c r="E38" s="64"/>
      <c r="F38" s="64"/>
      <c r="G38" s="64"/>
      <c r="H38" s="489"/>
      <c r="I38" s="489"/>
      <c r="J38" s="64"/>
      <c r="K38" s="96"/>
      <c r="L38" s="388">
        <f>L27+L28+L29+L30+L31+L32+L33+L34+L35+L36+L37</f>
        <v>0</v>
      </c>
    </row>
    <row r="39" spans="2:12" ht="3.95" customHeight="1" x14ac:dyDescent="0.2">
      <c r="B39" s="176"/>
      <c r="H39" s="490"/>
      <c r="I39" s="490"/>
      <c r="L39" s="182"/>
    </row>
    <row r="40" spans="2:12" x14ac:dyDescent="0.2">
      <c r="B40" s="183">
        <v>3</v>
      </c>
      <c r="C40" s="87" t="s">
        <v>112</v>
      </c>
      <c r="D40" s="508"/>
      <c r="E40" s="89"/>
      <c r="F40" s="89"/>
      <c r="G40" s="89"/>
      <c r="H40" s="491" t="s">
        <v>117</v>
      </c>
      <c r="I40" s="491"/>
      <c r="J40" s="97" t="s">
        <v>94</v>
      </c>
      <c r="K40" s="98"/>
      <c r="L40" s="500"/>
    </row>
    <row r="41" spans="2:12" x14ac:dyDescent="0.2">
      <c r="B41" s="184"/>
      <c r="C41" s="91" t="s">
        <v>261</v>
      </c>
      <c r="D41" s="509" t="s">
        <v>111</v>
      </c>
      <c r="E41" s="59" t="s">
        <v>96</v>
      </c>
      <c r="F41" s="259">
        <v>1</v>
      </c>
      <c r="G41" s="93"/>
      <c r="H41" s="499">
        <f>IFERROR(GETPIVOTDATA("GBO", revit_input_draaitabel!$A$2, "typologie", E41, "typologie_type", $D$41),0)</f>
        <v>0</v>
      </c>
      <c r="I41" s="498">
        <f>IFERROR(GETPIVOTDATA("GBO_fictief", revit_input_draaitabel!$A$2, "typologie", E41, "typologie_type", $D$41),0)</f>
        <v>0</v>
      </c>
      <c r="J41" s="133">
        <v>14</v>
      </c>
      <c r="K41" s="127">
        <f t="shared" ref="K41:K45" si="4">(J41*12)/$H$3</f>
        <v>4200</v>
      </c>
      <c r="L41" s="501">
        <f t="shared" ref="L41:L45" si="5">SUM(K41*I41*F41)</f>
        <v>0</v>
      </c>
    </row>
    <row r="42" spans="2:12" x14ac:dyDescent="0.2">
      <c r="B42" s="185"/>
      <c r="C42" s="94"/>
      <c r="D42" s="509"/>
      <c r="E42" s="59" t="s">
        <v>114</v>
      </c>
      <c r="F42" s="260">
        <v>1</v>
      </c>
      <c r="G42" s="59"/>
      <c r="H42" s="498">
        <f>IFERROR(GETPIVOTDATA("GBO", revit_input_draaitabel!$A$2, "typologie", E42, "typologie_type", $D$41),0)</f>
        <v>0</v>
      </c>
      <c r="I42" s="498">
        <f>IFERROR(GETPIVOTDATA("GBO_fictief", revit_input_draaitabel!$A$2, "typologie", E42, "typologie_type", $D$41),0)</f>
        <v>0</v>
      </c>
      <c r="J42" s="134">
        <v>14</v>
      </c>
      <c r="K42" s="127">
        <f t="shared" si="4"/>
        <v>4200</v>
      </c>
      <c r="L42" s="501">
        <f t="shared" si="5"/>
        <v>0</v>
      </c>
    </row>
    <row r="43" spans="2:12" x14ac:dyDescent="0.2">
      <c r="B43" s="185"/>
      <c r="C43" s="94"/>
      <c r="D43" s="509"/>
      <c r="E43" s="59" t="s">
        <v>136</v>
      </c>
      <c r="F43" s="260">
        <v>1</v>
      </c>
      <c r="G43" s="59"/>
      <c r="H43" s="498">
        <f>IFERROR(GETPIVOTDATA("GBO", revit_input_draaitabel!$A$2, "typologie", E43, "typologie_type", $D$41),0)</f>
        <v>0</v>
      </c>
      <c r="I43" s="498">
        <f>IFERROR(GETPIVOTDATA("GBO_fictief", revit_input_draaitabel!$A$2, "typologie", E43, "typologie_type", $D$41),0)</f>
        <v>0</v>
      </c>
      <c r="J43" s="134">
        <v>14</v>
      </c>
      <c r="K43" s="127">
        <f t="shared" si="4"/>
        <v>4200</v>
      </c>
      <c r="L43" s="501">
        <f t="shared" si="5"/>
        <v>0</v>
      </c>
    </row>
    <row r="44" spans="2:12" x14ac:dyDescent="0.2">
      <c r="B44" s="185"/>
      <c r="C44" s="94"/>
      <c r="D44" s="509"/>
      <c r="E44" s="59" t="s">
        <v>126</v>
      </c>
      <c r="F44" s="260">
        <v>1</v>
      </c>
      <c r="G44" s="59"/>
      <c r="H44" s="498">
        <f>IFERROR(GETPIVOTDATA("GBO", revit_input_draaitabel!$A$2, "typologie", E44, "typologie_type", $D$41),0)</f>
        <v>0</v>
      </c>
      <c r="I44" s="498">
        <f>IFERROR(GETPIVOTDATA("GBO_fictief", revit_input_draaitabel!$A$2, "typologie", E44, "typologie_type", $D$41),0)</f>
        <v>0</v>
      </c>
      <c r="J44" s="134">
        <v>14</v>
      </c>
      <c r="K44" s="127">
        <f t="shared" si="4"/>
        <v>4200</v>
      </c>
      <c r="L44" s="501">
        <f t="shared" si="5"/>
        <v>0</v>
      </c>
    </row>
    <row r="45" spans="2:12" x14ac:dyDescent="0.2">
      <c r="B45" s="185"/>
      <c r="C45" s="94"/>
      <c r="D45" s="509"/>
      <c r="E45" s="59" t="s">
        <v>127</v>
      </c>
      <c r="F45" s="260">
        <v>1</v>
      </c>
      <c r="G45" s="59"/>
      <c r="H45" s="498">
        <f>IFERROR(GETPIVOTDATA("GBO", revit_input_draaitabel!$A$2, "typologie", E45, "typologie_type", $D$41),0)</f>
        <v>0</v>
      </c>
      <c r="I45" s="498">
        <f>IFERROR(GETPIVOTDATA("GBO_fictief", revit_input_draaitabel!$A$2, "typologie", E45, "typologie_type", $D$41),0)</f>
        <v>0</v>
      </c>
      <c r="J45" s="134">
        <v>14</v>
      </c>
      <c r="K45" s="127">
        <f t="shared" si="4"/>
        <v>4200</v>
      </c>
      <c r="L45" s="501">
        <f t="shared" si="5"/>
        <v>0</v>
      </c>
    </row>
    <row r="46" spans="2:12" x14ac:dyDescent="0.2">
      <c r="B46" s="186"/>
      <c r="C46" s="95" t="s">
        <v>40</v>
      </c>
      <c r="D46" s="64"/>
      <c r="E46" s="64"/>
      <c r="F46" s="64"/>
      <c r="G46" s="64"/>
      <c r="H46" s="489"/>
      <c r="I46" s="489"/>
      <c r="J46" s="64"/>
      <c r="K46" s="96"/>
      <c r="L46" s="388">
        <f>SUM(IFERROR(L41,0)+IFERROR(L42,0)+IFERROR(L43,0)+IFERROR(L44,0)+IFERROR(L45,0))</f>
        <v>0</v>
      </c>
    </row>
    <row r="47" spans="2:12" ht="3.95" customHeight="1" x14ac:dyDescent="0.2">
      <c r="B47" s="187"/>
      <c r="C47" s="55"/>
      <c r="D47" s="55"/>
      <c r="E47" s="55"/>
      <c r="F47" s="55"/>
      <c r="G47" s="55"/>
      <c r="H47" s="492"/>
      <c r="I47" s="492"/>
      <c r="J47" s="55"/>
      <c r="K47" s="55"/>
      <c r="L47" s="188"/>
    </row>
    <row r="48" spans="2:12" x14ac:dyDescent="0.2">
      <c r="B48" s="183">
        <v>4</v>
      </c>
      <c r="C48" s="87" t="s">
        <v>95</v>
      </c>
      <c r="D48" s="508"/>
      <c r="E48" s="89"/>
      <c r="F48" s="89"/>
      <c r="G48" s="89"/>
      <c r="H48" s="491" t="s">
        <v>117</v>
      </c>
      <c r="I48" s="491"/>
      <c r="J48" s="97" t="s">
        <v>94</v>
      </c>
      <c r="K48" s="98"/>
      <c r="L48" s="500"/>
    </row>
    <row r="49" spans="2:18" x14ac:dyDescent="0.2">
      <c r="B49" s="184"/>
      <c r="C49" s="91" t="s">
        <v>261</v>
      </c>
      <c r="D49" s="509" t="s">
        <v>100</v>
      </c>
      <c r="E49" s="503"/>
      <c r="F49" s="92"/>
      <c r="G49" s="93"/>
      <c r="H49" s="498">
        <f>Samenvatting!N16</f>
        <v>0</v>
      </c>
      <c r="I49" s="498"/>
      <c r="J49" s="378">
        <v>15</v>
      </c>
      <c r="K49" s="127">
        <f t="shared" ref="K49:K53" si="6">(J49*12)/$H$3</f>
        <v>4500</v>
      </c>
      <c r="L49" s="501">
        <f>SUM(K49*H49)</f>
        <v>0</v>
      </c>
    </row>
    <row r="50" spans="2:18" ht="13.5" customHeight="1" x14ac:dyDescent="0.2">
      <c r="B50" s="185"/>
      <c r="C50" s="94"/>
      <c r="D50" s="509" t="s">
        <v>259</v>
      </c>
      <c r="E50" s="503"/>
      <c r="F50" s="60"/>
      <c r="G50" s="59"/>
      <c r="H50" s="497">
        <v>0</v>
      </c>
      <c r="I50" s="497"/>
      <c r="J50" s="378">
        <v>15</v>
      </c>
      <c r="K50" s="127">
        <f t="shared" si="6"/>
        <v>4500</v>
      </c>
      <c r="L50" s="501">
        <f>SUM(K50*H50)</f>
        <v>0</v>
      </c>
    </row>
    <row r="51" spans="2:18" ht="13.5" customHeight="1" x14ac:dyDescent="0.2">
      <c r="B51" s="185"/>
      <c r="C51" s="94"/>
      <c r="D51" s="509" t="s">
        <v>99</v>
      </c>
      <c r="E51" s="59"/>
      <c r="F51" s="60"/>
      <c r="G51" s="59"/>
      <c r="H51" s="498">
        <f>Samenvatting!N21</f>
        <v>0</v>
      </c>
      <c r="I51" s="498"/>
      <c r="J51" s="378">
        <v>15</v>
      </c>
      <c r="K51" s="127">
        <f t="shared" si="6"/>
        <v>4500</v>
      </c>
      <c r="L51" s="501">
        <f>SUM(K51*H51)</f>
        <v>0</v>
      </c>
    </row>
    <row r="52" spans="2:18" ht="13.5" customHeight="1" x14ac:dyDescent="0.2">
      <c r="B52" s="185"/>
      <c r="C52" s="94"/>
      <c r="D52" s="509" t="s">
        <v>217</v>
      </c>
      <c r="E52" s="59"/>
      <c r="F52" s="60"/>
      <c r="G52" s="59"/>
      <c r="H52" s="498">
        <f>Samenvatting!N26</f>
        <v>0</v>
      </c>
      <c r="I52" s="498"/>
      <c r="J52" s="378">
        <v>15</v>
      </c>
      <c r="K52" s="127">
        <f t="shared" si="6"/>
        <v>4500</v>
      </c>
      <c r="L52" s="501">
        <f>SUM(K52*H52)</f>
        <v>0</v>
      </c>
    </row>
    <row r="53" spans="2:18" ht="13.5" customHeight="1" x14ac:dyDescent="0.2">
      <c r="B53" s="185"/>
      <c r="C53" s="94"/>
      <c r="D53" s="509" t="s">
        <v>111</v>
      </c>
      <c r="E53" s="59"/>
      <c r="F53" s="60"/>
      <c r="G53" s="59"/>
      <c r="H53" s="498">
        <f>Samenvatting!N31</f>
        <v>0</v>
      </c>
      <c r="I53" s="498"/>
      <c r="J53" s="378">
        <v>10</v>
      </c>
      <c r="K53" s="127">
        <f t="shared" si="6"/>
        <v>3000</v>
      </c>
      <c r="L53" s="501">
        <f>SUM(K53*H53)</f>
        <v>0</v>
      </c>
    </row>
    <row r="54" spans="2:18" x14ac:dyDescent="0.2">
      <c r="B54" s="186"/>
      <c r="C54" s="95" t="s">
        <v>40</v>
      </c>
      <c r="D54" s="64"/>
      <c r="E54" s="64"/>
      <c r="F54" s="64"/>
      <c r="G54" s="64"/>
      <c r="H54" s="489"/>
      <c r="I54" s="489"/>
      <c r="J54" s="64"/>
      <c r="K54" s="96"/>
      <c r="L54" s="388" cm="1">
        <f t="array" ref="L54">SUM(IFERROR(L49:L53,0))</f>
        <v>0</v>
      </c>
    </row>
    <row r="55" spans="2:18" ht="3.95" customHeight="1" x14ac:dyDescent="0.2">
      <c r="B55" s="187"/>
      <c r="C55" s="55"/>
      <c r="D55" s="55"/>
      <c r="E55" s="55"/>
      <c r="F55" s="55"/>
      <c r="G55" s="55"/>
      <c r="H55" s="492"/>
      <c r="I55" s="492"/>
      <c r="J55" s="55"/>
      <c r="K55" s="55"/>
      <c r="L55" s="188"/>
    </row>
    <row r="56" spans="2:18" x14ac:dyDescent="0.2">
      <c r="B56" s="183">
        <v>5</v>
      </c>
      <c r="C56" s="87" t="s">
        <v>138</v>
      </c>
      <c r="D56" s="508"/>
      <c r="E56" s="89"/>
      <c r="F56" s="89"/>
      <c r="G56" s="89"/>
      <c r="H56" s="491" t="s">
        <v>117</v>
      </c>
      <c r="I56" s="491"/>
      <c r="J56" s="97" t="s">
        <v>94</v>
      </c>
      <c r="K56" s="98"/>
      <c r="L56" s="500"/>
      <c r="O56" s="59"/>
    </row>
    <row r="57" spans="2:18" x14ac:dyDescent="0.2">
      <c r="B57" s="184"/>
      <c r="C57" s="91" t="s">
        <v>113</v>
      </c>
      <c r="D57" s="509"/>
      <c r="E57" s="59" t="s">
        <v>133</v>
      </c>
      <c r="F57" s="60">
        <v>1</v>
      </c>
      <c r="G57" s="93"/>
      <c r="H57" s="499">
        <f>IFERROR(Samenvatting!G79,0)</f>
        <v>0</v>
      </c>
      <c r="I57" s="499"/>
      <c r="J57" s="377">
        <v>10</v>
      </c>
      <c r="K57" s="127">
        <f>(J57*12)/$H$3</f>
        <v>3000</v>
      </c>
      <c r="L57" s="501">
        <f>SUM(K57*H57*F57)</f>
        <v>0</v>
      </c>
      <c r="O57" s="59"/>
      <c r="R57" s="278"/>
    </row>
    <row r="58" spans="2:18" x14ac:dyDescent="0.2">
      <c r="B58" s="185"/>
      <c r="C58" s="94"/>
      <c r="D58" s="509"/>
      <c r="E58" s="59" t="s">
        <v>154</v>
      </c>
      <c r="F58" s="60">
        <v>1</v>
      </c>
      <c r="G58" s="59"/>
      <c r="H58" s="498">
        <f>IFERROR(Samenvatting!$P$21,0)</f>
        <v>0</v>
      </c>
      <c r="I58" s="498"/>
      <c r="J58" s="377">
        <v>10</v>
      </c>
      <c r="K58" s="127">
        <f t="shared" ref="K58:K61" si="7">(J58*12)/$H$3</f>
        <v>3000</v>
      </c>
      <c r="L58" s="501">
        <f>SUM(K58*H58*F58)</f>
        <v>0</v>
      </c>
    </row>
    <row r="59" spans="2:18" x14ac:dyDescent="0.2">
      <c r="B59" s="185"/>
      <c r="C59" s="362" t="s">
        <v>225</v>
      </c>
      <c r="D59" s="511"/>
      <c r="E59" s="59" t="s">
        <v>137</v>
      </c>
      <c r="F59" s="60">
        <v>1</v>
      </c>
      <c r="G59" s="59"/>
      <c r="H59" s="498">
        <f>Samenvatting!G74</f>
        <v>0</v>
      </c>
      <c r="I59" s="498"/>
      <c r="J59" s="377">
        <v>10</v>
      </c>
      <c r="K59" s="127">
        <f t="shared" si="7"/>
        <v>3000</v>
      </c>
      <c r="L59" s="501">
        <f>SUM(K59*H59*F59)</f>
        <v>0</v>
      </c>
    </row>
    <row r="60" spans="2:18" x14ac:dyDescent="0.2">
      <c r="B60" s="185"/>
      <c r="C60" s="94"/>
      <c r="D60" s="509"/>
      <c r="E60" s="59" t="s">
        <v>162</v>
      </c>
      <c r="F60" s="60">
        <v>1</v>
      </c>
      <c r="G60" s="59"/>
      <c r="H60" s="498">
        <f>Samenvatting!G70</f>
        <v>0</v>
      </c>
      <c r="I60" s="498"/>
      <c r="J60" s="134">
        <v>0</v>
      </c>
      <c r="K60" s="127">
        <f t="shared" si="7"/>
        <v>0</v>
      </c>
      <c r="L60" s="501">
        <f>SUM(K60*H60*F60)</f>
        <v>0</v>
      </c>
    </row>
    <row r="61" spans="2:18" x14ac:dyDescent="0.2">
      <c r="B61" s="185"/>
      <c r="C61" s="94"/>
      <c r="D61" s="509"/>
      <c r="E61" s="59" t="s">
        <v>161</v>
      </c>
      <c r="F61" s="60">
        <v>1</v>
      </c>
      <c r="G61" s="59"/>
      <c r="H61" s="498">
        <f>Samenvatting!G72</f>
        <v>0</v>
      </c>
      <c r="I61" s="498"/>
      <c r="J61" s="134">
        <v>0</v>
      </c>
      <c r="K61" s="127">
        <f t="shared" si="7"/>
        <v>0</v>
      </c>
      <c r="L61" s="501">
        <f>SUM(K61*H61*F61)</f>
        <v>0</v>
      </c>
    </row>
    <row r="62" spans="2:18" x14ac:dyDescent="0.2">
      <c r="B62" s="186"/>
      <c r="C62" s="95" t="s">
        <v>40</v>
      </c>
      <c r="D62" s="64"/>
      <c r="E62" s="64"/>
      <c r="F62" s="64"/>
      <c r="G62" s="64"/>
      <c r="H62" s="64"/>
      <c r="I62" s="64"/>
      <c r="J62" s="64"/>
      <c r="K62" s="96"/>
      <c r="L62" s="388">
        <f>L57+L58+L59+L60+L61</f>
        <v>0</v>
      </c>
    </row>
    <row r="63" spans="2:18" ht="3.95" customHeight="1" x14ac:dyDescent="0.2">
      <c r="B63" s="187"/>
      <c r="C63" s="55"/>
      <c r="D63" s="55"/>
      <c r="E63" s="55"/>
      <c r="F63" s="55"/>
      <c r="G63" s="55"/>
      <c r="H63" s="55"/>
      <c r="I63" s="55"/>
      <c r="J63" s="55"/>
      <c r="K63" s="55"/>
      <c r="L63" s="188"/>
    </row>
    <row r="64" spans="2:18" x14ac:dyDescent="0.2">
      <c r="B64" s="183">
        <v>6</v>
      </c>
      <c r="C64" s="87" t="s">
        <v>42</v>
      </c>
      <c r="D64" s="508"/>
      <c r="E64" s="89"/>
      <c r="F64" s="89"/>
      <c r="G64" s="89"/>
      <c r="H64" s="89"/>
      <c r="I64" s="89"/>
      <c r="J64" s="89"/>
      <c r="K64" s="98"/>
      <c r="L64" s="500"/>
    </row>
    <row r="65" spans="1:13" x14ac:dyDescent="0.2">
      <c r="B65" s="184"/>
      <c r="C65" s="121" t="s">
        <v>107</v>
      </c>
      <c r="D65" s="285"/>
      <c r="E65" s="123">
        <f>Samenvatting!V36</f>
        <v>0</v>
      </c>
      <c r="F65" s="93"/>
      <c r="G65" s="93"/>
      <c r="H65" s="125">
        <v>30000</v>
      </c>
      <c r="I65" s="125"/>
      <c r="J65" s="254"/>
      <c r="K65" s="57"/>
      <c r="L65" s="501">
        <f>$H$65*(Samenvatting!V36)</f>
        <v>0</v>
      </c>
    </row>
    <row r="66" spans="1:13" x14ac:dyDescent="0.2">
      <c r="B66" s="185"/>
      <c r="C66" s="120" t="s">
        <v>106</v>
      </c>
      <c r="D66" s="289"/>
      <c r="E66" s="124">
        <f>Samenvatting!V37</f>
        <v>0</v>
      </c>
      <c r="F66" s="59"/>
      <c r="G66" s="59"/>
      <c r="H66" s="126">
        <v>25000</v>
      </c>
      <c r="I66" s="126"/>
      <c r="J66" s="253"/>
      <c r="K66" s="99"/>
      <c r="L66" s="501">
        <f>$H$65*(Samenvatting!V37)</f>
        <v>0</v>
      </c>
    </row>
    <row r="67" spans="1:13" x14ac:dyDescent="0.2">
      <c r="B67" s="185"/>
      <c r="C67" s="120" t="s">
        <v>108</v>
      </c>
      <c r="D67" s="289"/>
      <c r="E67" s="124">
        <f>Samenvatting!V38</f>
        <v>0</v>
      </c>
      <c r="F67" s="59"/>
      <c r="G67" s="59"/>
      <c r="H67" s="126">
        <v>7500</v>
      </c>
      <c r="I67" s="126"/>
      <c r="J67" s="253"/>
      <c r="K67" s="99"/>
      <c r="L67" s="501">
        <f>$H$65*(Samenvatting!V38)</f>
        <v>0</v>
      </c>
    </row>
    <row r="68" spans="1:13" x14ac:dyDescent="0.2">
      <c r="B68" s="185"/>
      <c r="C68" s="120" t="s">
        <v>109</v>
      </c>
      <c r="D68" s="289"/>
      <c r="E68" s="124">
        <f>Samenvatting!V39</f>
        <v>0</v>
      </c>
      <c r="F68" s="59"/>
      <c r="G68" s="59"/>
      <c r="H68" s="126">
        <v>20000</v>
      </c>
      <c r="I68" s="126"/>
      <c r="J68" s="253"/>
      <c r="K68" s="99"/>
      <c r="L68" s="501">
        <f>$H$65*(Samenvatting!V39)</f>
        <v>0</v>
      </c>
    </row>
    <row r="69" spans="1:13" x14ac:dyDescent="0.2">
      <c r="B69" s="186"/>
      <c r="C69" s="95" t="s">
        <v>40</v>
      </c>
      <c r="D69" s="64"/>
      <c r="E69" s="64"/>
      <c r="F69" s="64"/>
      <c r="G69" s="64"/>
      <c r="H69" s="64"/>
      <c r="I69" s="64"/>
      <c r="J69" s="64"/>
      <c r="K69" s="96"/>
      <c r="L69" s="387">
        <f>SUM(L65:L68)</f>
        <v>0</v>
      </c>
    </row>
    <row r="70" spans="1:13" ht="3.95" customHeight="1" x14ac:dyDescent="0.2">
      <c r="B70" s="187"/>
      <c r="C70" s="55"/>
      <c r="D70" s="55"/>
      <c r="E70" s="61"/>
      <c r="K70" s="100"/>
      <c r="L70" s="189"/>
    </row>
    <row r="71" spans="1:13" s="62" customFormat="1" ht="12" x14ac:dyDescent="0.2">
      <c r="B71" s="190">
        <v>7</v>
      </c>
      <c r="C71" s="87" t="s">
        <v>65</v>
      </c>
      <c r="D71" s="508"/>
      <c r="E71" s="86"/>
      <c r="F71" s="86"/>
      <c r="G71" s="86"/>
      <c r="H71" s="106"/>
      <c r="I71" s="106"/>
      <c r="J71" s="106"/>
      <c r="K71" s="107"/>
      <c r="L71" s="504"/>
    </row>
    <row r="72" spans="1:13" s="59" customFormat="1" ht="11.25" x14ac:dyDescent="0.2">
      <c r="B72" s="192"/>
      <c r="C72" s="101" t="s">
        <v>66</v>
      </c>
      <c r="D72" s="512"/>
      <c r="E72" s="379">
        <v>0</v>
      </c>
      <c r="F72" s="93"/>
      <c r="G72" s="93"/>
      <c r="H72" s="102">
        <f>$L$24+$L$38+$L$69+$L$46+$L$54+$L$62</f>
        <v>4000000</v>
      </c>
      <c r="I72" s="102"/>
      <c r="J72" s="102"/>
      <c r="K72" s="57"/>
      <c r="L72" s="501">
        <f>E72*H72*-1</f>
        <v>0</v>
      </c>
    </row>
    <row r="73" spans="1:13" s="59" customFormat="1" ht="11.25" x14ac:dyDescent="0.2">
      <c r="B73" s="193"/>
      <c r="C73" s="103" t="s">
        <v>67</v>
      </c>
      <c r="D73" s="513"/>
      <c r="E73" s="132">
        <v>7.4999999999999997E-3</v>
      </c>
      <c r="H73" s="63">
        <f>$L$24+$L$38+$L$69+$L$46+$L$54+$L$62</f>
        <v>4000000</v>
      </c>
      <c r="I73" s="63"/>
      <c r="J73" s="63"/>
      <c r="K73" s="99"/>
      <c r="L73" s="501">
        <f t="shared" ref="L73:L74" si="8">E73*H73*-1</f>
        <v>-30000</v>
      </c>
    </row>
    <row r="74" spans="1:13" s="59" customFormat="1" ht="11.25" x14ac:dyDescent="0.2">
      <c r="B74" s="193"/>
      <c r="C74" s="103" t="s">
        <v>68</v>
      </c>
      <c r="D74" s="513"/>
      <c r="E74" s="132">
        <v>0</v>
      </c>
      <c r="H74" s="63">
        <f>$L$24+$L$38+$L$69+$L$46+$L$54+$L$62</f>
        <v>4000000</v>
      </c>
      <c r="I74" s="63"/>
      <c r="J74" s="63"/>
      <c r="K74" s="99"/>
      <c r="L74" s="501">
        <f t="shared" si="8"/>
        <v>0</v>
      </c>
    </row>
    <row r="75" spans="1:13" s="59" customFormat="1" ht="11.25" x14ac:dyDescent="0.2">
      <c r="B75" s="194"/>
      <c r="C75" s="95" t="s">
        <v>40</v>
      </c>
      <c r="D75" s="64"/>
      <c r="E75" s="104"/>
      <c r="F75" s="105"/>
      <c r="G75" s="105"/>
      <c r="H75" s="64"/>
      <c r="I75" s="64"/>
      <c r="J75" s="64"/>
      <c r="K75" s="96"/>
      <c r="L75" s="387">
        <f>SUM(L72:L74)</f>
        <v>-30000</v>
      </c>
    </row>
    <row r="76" spans="1:13" ht="3.95" customHeight="1" x14ac:dyDescent="0.2">
      <c r="A76" s="59"/>
      <c r="B76" s="187"/>
      <c r="C76" s="55"/>
      <c r="D76" s="55"/>
      <c r="E76" s="61"/>
      <c r="H76" s="55"/>
      <c r="I76" s="55"/>
      <c r="J76" s="55"/>
      <c r="K76" s="55"/>
      <c r="L76" s="189"/>
    </row>
    <row r="77" spans="1:13" x14ac:dyDescent="0.2">
      <c r="A77" s="59"/>
      <c r="B77" s="190">
        <v>8</v>
      </c>
      <c r="C77" s="87" t="s">
        <v>71</v>
      </c>
      <c r="D77" s="508"/>
      <c r="E77" s="86"/>
      <c r="F77" s="86"/>
      <c r="G77" s="86"/>
      <c r="H77" s="106"/>
      <c r="I77" s="106"/>
      <c r="J77" s="106"/>
      <c r="K77" s="107"/>
      <c r="L77" s="191"/>
    </row>
    <row r="78" spans="1:13" x14ac:dyDescent="0.2">
      <c r="A78" s="59"/>
      <c r="B78" s="192"/>
      <c r="C78" s="101" t="s">
        <v>72</v>
      </c>
      <c r="D78" s="512"/>
      <c r="E78" s="92">
        <v>0.21</v>
      </c>
      <c r="F78" s="93"/>
      <c r="G78" s="93"/>
      <c r="H78" s="102">
        <f>$L$24+$L$38+$L$69+$L$46+$L$54+$L$62</f>
        <v>4000000</v>
      </c>
      <c r="I78" s="102"/>
      <c r="J78" s="102"/>
      <c r="K78" s="57"/>
      <c r="L78" s="195">
        <f>(H78/(100%+E78))*-E78</f>
        <v>-694214.87603305781</v>
      </c>
      <c r="M78" s="63"/>
    </row>
    <row r="79" spans="1:13" x14ac:dyDescent="0.2">
      <c r="A79" s="59"/>
      <c r="B79" s="194"/>
      <c r="C79" s="95" t="s">
        <v>40</v>
      </c>
      <c r="D79" s="64"/>
      <c r="E79" s="104"/>
      <c r="F79" s="105"/>
      <c r="G79" s="105"/>
      <c r="H79" s="64"/>
      <c r="I79" s="64"/>
      <c r="J79" s="64"/>
      <c r="K79" s="96"/>
      <c r="L79" s="387">
        <f>L78</f>
        <v>-694214.87603305781</v>
      </c>
    </row>
    <row r="80" spans="1:13" ht="3.95" customHeight="1" x14ac:dyDescent="0.2">
      <c r="A80" s="59"/>
      <c r="B80" s="187"/>
      <c r="C80" s="55"/>
      <c r="D80" s="55"/>
      <c r="E80" s="61"/>
      <c r="H80" s="55"/>
      <c r="I80" s="55"/>
      <c r="J80" s="55"/>
      <c r="K80" s="55"/>
      <c r="L80" s="189"/>
    </row>
    <row r="81" spans="1:20" s="62" customFormat="1" ht="12" x14ac:dyDescent="0.2">
      <c r="A81" s="59"/>
      <c r="B81" s="196">
        <v>9</v>
      </c>
      <c r="C81" s="128" t="s">
        <v>255</v>
      </c>
      <c r="D81" s="514"/>
      <c r="E81" s="129"/>
      <c r="F81" s="129"/>
      <c r="G81" s="129"/>
      <c r="H81" s="130"/>
      <c r="I81" s="130"/>
      <c r="J81" s="130"/>
      <c r="K81" s="131"/>
      <c r="L81" s="191"/>
      <c r="M81" s="364"/>
    </row>
    <row r="82" spans="1:20" s="59" customFormat="1" ht="12" thickBot="1" x14ac:dyDescent="0.25">
      <c r="B82" s="197"/>
      <c r="C82" s="198" t="s">
        <v>40</v>
      </c>
      <c r="D82" s="198"/>
      <c r="E82" s="198"/>
      <c r="F82" s="198"/>
      <c r="G82" s="198"/>
      <c r="H82" s="198"/>
      <c r="I82" s="198"/>
      <c r="J82" s="198"/>
      <c r="K82" s="198"/>
      <c r="L82" s="199">
        <f>L24+L38+L46+L69+L75+L79+L54+L62</f>
        <v>3275785.1239669421</v>
      </c>
    </row>
    <row r="83" spans="1:20" x14ac:dyDescent="0.2">
      <c r="P83" s="56"/>
      <c r="Q83" s="56"/>
      <c r="R83" s="56"/>
      <c r="S83" s="56"/>
      <c r="T83" s="56"/>
    </row>
    <row r="84" spans="1:20" x14ac:dyDescent="0.2">
      <c r="P84" s="56"/>
      <c r="Q84" s="56"/>
      <c r="R84" s="56"/>
      <c r="S84" s="56"/>
      <c r="T84" s="56"/>
    </row>
    <row r="85" spans="1:20" x14ac:dyDescent="0.2">
      <c r="H85" s="65"/>
      <c r="I85" s="65"/>
      <c r="J85" s="65"/>
      <c r="P85" s="56"/>
      <c r="Q85" s="56"/>
      <c r="R85" s="56"/>
      <c r="S85" s="56"/>
      <c r="T85" s="56"/>
    </row>
    <row r="86" spans="1:20" x14ac:dyDescent="0.2">
      <c r="H86" s="65"/>
      <c r="I86" s="65"/>
      <c r="J86" s="65"/>
      <c r="P86" s="56"/>
      <c r="Q86" s="56"/>
      <c r="R86" s="56"/>
      <c r="S86" s="56"/>
      <c r="T86" s="56"/>
    </row>
    <row r="87" spans="1:20" x14ac:dyDescent="0.2">
      <c r="H87" s="65"/>
      <c r="I87" s="65"/>
      <c r="J87" s="65"/>
      <c r="P87" s="56"/>
      <c r="Q87" s="56"/>
      <c r="R87" s="56"/>
      <c r="S87" s="56"/>
      <c r="T87" s="56"/>
    </row>
    <row r="88" spans="1:20" x14ac:dyDescent="0.2">
      <c r="H88" s="65"/>
      <c r="I88" s="65"/>
      <c r="J88" s="65"/>
      <c r="M88" s="56"/>
      <c r="N88" s="56"/>
      <c r="P88" s="56"/>
      <c r="Q88" s="56"/>
      <c r="R88" s="56"/>
      <c r="S88" s="56"/>
      <c r="T88" s="56"/>
    </row>
    <row r="89" spans="1:20" x14ac:dyDescent="0.2">
      <c r="M89" s="56"/>
      <c r="N89" s="56"/>
      <c r="P89" s="56"/>
      <c r="Q89" s="56"/>
      <c r="R89" s="56"/>
      <c r="S89" s="56"/>
      <c r="T89" s="56"/>
    </row>
    <row r="90" spans="1:20" x14ac:dyDescent="0.2">
      <c r="M90" s="56"/>
      <c r="N90" s="56"/>
      <c r="P90" s="56"/>
      <c r="Q90" s="56"/>
      <c r="R90" s="56"/>
      <c r="S90" s="56"/>
      <c r="T90" s="56"/>
    </row>
    <row r="91" spans="1:20" x14ac:dyDescent="0.2">
      <c r="M91" s="56"/>
      <c r="N91" s="56"/>
      <c r="P91" s="56"/>
      <c r="Q91" s="56"/>
      <c r="R91" s="56"/>
      <c r="S91" s="56"/>
      <c r="T91" s="56"/>
    </row>
    <row r="92" spans="1:20" x14ac:dyDescent="0.2">
      <c r="M92" s="56"/>
      <c r="N92" s="56"/>
      <c r="P92" s="56"/>
      <c r="Q92" s="56"/>
      <c r="R92" s="56"/>
      <c r="S92" s="56"/>
      <c r="T92" s="56"/>
    </row>
    <row r="93" spans="1:20" x14ac:dyDescent="0.2">
      <c r="M93" s="56"/>
      <c r="N93" s="56"/>
      <c r="P93" s="56"/>
      <c r="Q93" s="56"/>
      <c r="R93" s="56"/>
      <c r="S93" s="56"/>
      <c r="T93" s="56"/>
    </row>
    <row r="94" spans="1:20" x14ac:dyDescent="0.2">
      <c r="M94" s="56"/>
      <c r="N94" s="56"/>
      <c r="P94" s="56"/>
      <c r="Q94" s="56"/>
      <c r="R94" s="56"/>
      <c r="S94" s="56"/>
      <c r="T94" s="56"/>
    </row>
    <row r="95" spans="1:20" x14ac:dyDescent="0.2">
      <c r="M95" s="56"/>
      <c r="N95" s="56"/>
      <c r="P95" s="56"/>
      <c r="Q95" s="56"/>
      <c r="R95" s="56"/>
      <c r="S95" s="56"/>
      <c r="T95" s="56"/>
    </row>
    <row r="96" spans="1:20" x14ac:dyDescent="0.2">
      <c r="M96" s="56"/>
      <c r="N96" s="56"/>
      <c r="P96" s="56"/>
      <c r="Q96" s="56"/>
      <c r="R96" s="56"/>
      <c r="S96" s="56"/>
      <c r="T96" s="56"/>
    </row>
    <row r="97" s="56" customFormat="1" x14ac:dyDescent="0.2"/>
    <row r="98" s="56" customFormat="1" x14ac:dyDescent="0.2"/>
    <row r="99" s="56" customFormat="1" x14ac:dyDescent="0.2"/>
    <row r="100" s="56" customFormat="1" x14ac:dyDescent="0.2"/>
    <row r="101" s="56" customFormat="1" x14ac:dyDescent="0.2"/>
    <row r="102" s="56" customFormat="1" x14ac:dyDescent="0.2"/>
    <row r="103" s="56" customFormat="1" x14ac:dyDescent="0.2"/>
    <row r="104" s="56" customFormat="1" x14ac:dyDescent="0.2"/>
    <row r="105" s="56" customFormat="1" x14ac:dyDescent="0.2"/>
    <row r="106" s="56" customFormat="1" x14ac:dyDescent="0.2"/>
    <row r="107" s="56" customFormat="1" x14ac:dyDescent="0.2"/>
    <row r="108" s="56" customFormat="1" x14ac:dyDescent="0.2"/>
    <row r="109" s="56" customFormat="1" x14ac:dyDescent="0.2"/>
    <row r="110" s="56" customFormat="1" x14ac:dyDescent="0.2"/>
    <row r="111" s="56" customFormat="1" x14ac:dyDescent="0.2"/>
    <row r="112" s="56" customFormat="1" x14ac:dyDescent="0.2"/>
    <row r="113" s="56" customFormat="1" x14ac:dyDescent="0.2"/>
    <row r="114" s="56" customFormat="1" x14ac:dyDescent="0.2"/>
    <row r="115" s="56" customFormat="1" x14ac:dyDescent="0.2"/>
    <row r="116" s="56" customFormat="1" x14ac:dyDescent="0.2"/>
    <row r="117" s="56" customFormat="1" x14ac:dyDescent="0.2"/>
    <row r="118" s="56" customFormat="1" x14ac:dyDescent="0.2"/>
    <row r="119" s="56" customFormat="1" x14ac:dyDescent="0.2"/>
    <row r="120" s="56" customFormat="1" x14ac:dyDescent="0.2"/>
    <row r="121" s="56" customFormat="1" x14ac:dyDescent="0.2"/>
    <row r="122" s="56" customFormat="1" x14ac:dyDescent="0.2"/>
    <row r="123" s="56" customFormat="1" x14ac:dyDescent="0.2"/>
    <row r="124" s="56" customFormat="1" x14ac:dyDescent="0.2"/>
    <row r="125" s="56" customFormat="1" x14ac:dyDescent="0.2"/>
    <row r="126" s="56" customFormat="1" x14ac:dyDescent="0.2"/>
    <row r="127" s="56" customFormat="1" x14ac:dyDescent="0.2"/>
    <row r="128" s="56" customFormat="1" x14ac:dyDescent="0.2"/>
    <row r="129" s="56" customFormat="1" x14ac:dyDescent="0.2"/>
    <row r="130" s="56" customFormat="1" x14ac:dyDescent="0.2"/>
    <row r="131" s="56" customFormat="1" x14ac:dyDescent="0.2"/>
    <row r="132" s="56" customFormat="1" x14ac:dyDescent="0.2"/>
    <row r="133" s="56" customFormat="1" x14ac:dyDescent="0.2"/>
    <row r="134" s="56" customFormat="1" x14ac:dyDescent="0.2"/>
    <row r="135" s="56" customFormat="1" x14ac:dyDescent="0.2"/>
    <row r="136" s="56" customFormat="1" x14ac:dyDescent="0.2"/>
    <row r="137" s="56" customFormat="1" x14ac:dyDescent="0.2"/>
    <row r="138" s="56" customFormat="1" x14ac:dyDescent="0.2"/>
    <row r="139" s="56" customFormat="1" x14ac:dyDescent="0.2"/>
    <row r="140" s="56" customFormat="1" x14ac:dyDescent="0.2"/>
    <row r="141" s="56" customFormat="1" x14ac:dyDescent="0.2"/>
    <row r="142" s="56" customFormat="1" x14ac:dyDescent="0.2"/>
    <row r="143" s="56" customFormat="1" x14ac:dyDescent="0.2"/>
    <row r="144" s="56" customFormat="1" x14ac:dyDescent="0.2"/>
    <row r="145" s="56" customFormat="1" x14ac:dyDescent="0.2"/>
    <row r="146" s="56" customFormat="1" x14ac:dyDescent="0.2"/>
    <row r="147" s="56" customFormat="1" x14ac:dyDescent="0.2"/>
    <row r="148" s="56" customFormat="1" x14ac:dyDescent="0.2"/>
    <row r="149" s="56" customFormat="1" x14ac:dyDescent="0.2"/>
    <row r="150" s="56" customFormat="1" x14ac:dyDescent="0.2"/>
    <row r="151" s="56" customFormat="1" x14ac:dyDescent="0.2"/>
    <row r="152" s="56" customFormat="1" x14ac:dyDescent="0.2"/>
    <row r="153" s="56" customFormat="1" x14ac:dyDescent="0.2"/>
    <row r="154" s="56" customFormat="1" x14ac:dyDescent="0.2"/>
    <row r="155" s="56" customFormat="1" x14ac:dyDescent="0.2"/>
    <row r="156" s="56" customFormat="1" x14ac:dyDescent="0.2"/>
  </sheetData>
  <phoneticPr fontId="5" type="noConversion"/>
  <pageMargins left="0.7" right="0.7" top="0.75" bottom="0.75" header="0.3" footer="0.3"/>
  <pageSetup paperSize="8" scale="8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4C164-F147-480F-A1AA-D74DA6E6FFD7}">
  <sheetPr codeName="Blad4"/>
  <dimension ref="A1:D5"/>
  <sheetViews>
    <sheetView workbookViewId="0">
      <selection activeCell="C16" sqref="C16"/>
    </sheetView>
  </sheetViews>
  <sheetFormatPr defaultRowHeight="12.75" x14ac:dyDescent="0.2"/>
  <cols>
    <col min="1" max="1" width="11.140625" bestFit="1" customWidth="1"/>
    <col min="2" max="2" width="12.85546875" bestFit="1" customWidth="1"/>
    <col min="3" max="3" width="19.5703125" bestFit="1" customWidth="1"/>
    <col min="4" max="4" width="26.140625" bestFit="1" customWidth="1"/>
  </cols>
  <sheetData>
    <row r="1" spans="1:4" x14ac:dyDescent="0.2">
      <c r="A1" s="267" t="s">
        <v>139</v>
      </c>
      <c r="B1" t="s">
        <v>145</v>
      </c>
      <c r="C1" t="s">
        <v>144</v>
      </c>
      <c r="D1" t="s">
        <v>146</v>
      </c>
    </row>
    <row r="2" spans="1:4" x14ac:dyDescent="0.2">
      <c r="A2" s="268" t="s">
        <v>136</v>
      </c>
      <c r="B2">
        <v>0</v>
      </c>
      <c r="C2">
        <v>22</v>
      </c>
      <c r="D2" s="269">
        <v>74</v>
      </c>
    </row>
    <row r="3" spans="1:4" x14ac:dyDescent="0.2">
      <c r="A3" s="268" t="s">
        <v>133</v>
      </c>
      <c r="B3">
        <v>0</v>
      </c>
      <c r="C3">
        <v>1</v>
      </c>
      <c r="D3" s="269">
        <v>85</v>
      </c>
    </row>
    <row r="4" spans="1:4" x14ac:dyDescent="0.2">
      <c r="A4" s="268" t="s">
        <v>126</v>
      </c>
      <c r="B4">
        <v>0</v>
      </c>
      <c r="C4">
        <v>12</v>
      </c>
      <c r="D4" s="269">
        <v>79</v>
      </c>
    </row>
    <row r="5" spans="1:4" x14ac:dyDescent="0.2">
      <c r="A5" s="268" t="s">
        <v>140</v>
      </c>
      <c r="B5">
        <v>0</v>
      </c>
      <c r="C5">
        <v>35</v>
      </c>
      <c r="D5" s="269">
        <v>76.666666666666671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6CA54-99F2-4950-ABE4-E0C4474FD9AE}">
  <sheetPr codeName="Blad6"/>
  <dimension ref="A2:R58"/>
  <sheetViews>
    <sheetView workbookViewId="0">
      <selection activeCell="F26" sqref="F26"/>
    </sheetView>
  </sheetViews>
  <sheetFormatPr defaultRowHeight="12.75" x14ac:dyDescent="0.2"/>
  <cols>
    <col min="1" max="1" width="13.7109375" bestFit="1" customWidth="1"/>
    <col min="2" max="2" width="11.140625" bestFit="1" customWidth="1"/>
    <col min="3" max="3" width="13.7109375" style="269" bestFit="1" customWidth="1"/>
    <col min="4" max="4" width="13.140625" style="269" bestFit="1" customWidth="1"/>
    <col min="5" max="5" width="9" bestFit="1" customWidth="1"/>
    <col min="6" max="6" width="11.28515625" bestFit="1" customWidth="1"/>
    <col min="7" max="7" width="14.85546875" style="269" bestFit="1" customWidth="1"/>
    <col min="8" max="8" width="12.28515625" bestFit="1" customWidth="1"/>
  </cols>
  <sheetData>
    <row r="2" spans="1:18" x14ac:dyDescent="0.2">
      <c r="A2" t="s">
        <v>141</v>
      </c>
      <c r="B2" t="s">
        <v>142</v>
      </c>
      <c r="C2" s="269" t="s">
        <v>158</v>
      </c>
      <c r="D2" s="269" t="s">
        <v>143</v>
      </c>
      <c r="E2" t="s">
        <v>159</v>
      </c>
      <c r="F2" t="s">
        <v>160</v>
      </c>
      <c r="G2" s="269" t="s">
        <v>178</v>
      </c>
      <c r="H2" t="s">
        <v>269</v>
      </c>
      <c r="I2" t="s">
        <v>160</v>
      </c>
      <c r="J2" s="277" t="s">
        <v>250</v>
      </c>
      <c r="K2" s="277" t="s">
        <v>250</v>
      </c>
      <c r="L2" s="277" t="s">
        <v>250</v>
      </c>
      <c r="M2" s="277" t="s">
        <v>250</v>
      </c>
      <c r="N2" s="277" t="s">
        <v>250</v>
      </c>
      <c r="O2" s="277" t="s">
        <v>250</v>
      </c>
      <c r="P2" s="277" t="s">
        <v>250</v>
      </c>
      <c r="Q2" s="277" t="s">
        <v>250</v>
      </c>
      <c r="R2" s="277" t="s">
        <v>251</v>
      </c>
    </row>
    <row r="4" spans="1:18" x14ac:dyDescent="0.2">
      <c r="A4" t="s">
        <v>229</v>
      </c>
      <c r="B4" t="s">
        <v>99</v>
      </c>
      <c r="C4" s="269">
        <v>1000</v>
      </c>
      <c r="D4" s="269">
        <v>100</v>
      </c>
      <c r="E4">
        <v>1000</v>
      </c>
      <c r="F4">
        <v>3000</v>
      </c>
      <c r="G4" s="269">
        <v>0</v>
      </c>
      <c r="H4">
        <v>1</v>
      </c>
      <c r="I4">
        <v>3000</v>
      </c>
      <c r="R4">
        <f>E4*H4</f>
        <v>1000</v>
      </c>
    </row>
    <row r="5" spans="1:18" x14ac:dyDescent="0.2">
      <c r="A5" t="s">
        <v>126</v>
      </c>
      <c r="B5" t="s">
        <v>100</v>
      </c>
      <c r="C5" s="269">
        <v>1000</v>
      </c>
      <c r="D5" s="269">
        <v>80</v>
      </c>
      <c r="E5">
        <v>800</v>
      </c>
      <c r="F5">
        <v>3000</v>
      </c>
      <c r="G5" s="269">
        <v>8</v>
      </c>
      <c r="H5">
        <v>1</v>
      </c>
      <c r="I5">
        <v>3000</v>
      </c>
      <c r="R5">
        <v>800</v>
      </c>
    </row>
    <row r="6" spans="1:18" x14ac:dyDescent="0.2">
      <c r="R6">
        <f t="shared" ref="R6:R56" si="0">E6*H6</f>
        <v>0</v>
      </c>
    </row>
    <row r="7" spans="1:18" x14ac:dyDescent="0.2">
      <c r="R7">
        <f t="shared" si="0"/>
        <v>0</v>
      </c>
    </row>
    <row r="8" spans="1:18" x14ac:dyDescent="0.2">
      <c r="R8">
        <f t="shared" si="0"/>
        <v>0</v>
      </c>
    </row>
    <row r="9" spans="1:18" x14ac:dyDescent="0.2">
      <c r="R9">
        <f t="shared" si="0"/>
        <v>0</v>
      </c>
    </row>
    <row r="10" spans="1:18" x14ac:dyDescent="0.2">
      <c r="R10">
        <f t="shared" si="0"/>
        <v>0</v>
      </c>
    </row>
    <row r="11" spans="1:18" x14ac:dyDescent="0.2">
      <c r="R11">
        <f t="shared" si="0"/>
        <v>0</v>
      </c>
    </row>
    <row r="12" spans="1:18" x14ac:dyDescent="0.2">
      <c r="R12">
        <f t="shared" si="0"/>
        <v>0</v>
      </c>
    </row>
    <row r="13" spans="1:18" x14ac:dyDescent="0.2">
      <c r="R13">
        <f t="shared" si="0"/>
        <v>0</v>
      </c>
    </row>
    <row r="14" spans="1:18" x14ac:dyDescent="0.2">
      <c r="R14">
        <f t="shared" si="0"/>
        <v>0</v>
      </c>
    </row>
    <row r="15" spans="1:18" x14ac:dyDescent="0.2">
      <c r="R15">
        <f t="shared" si="0"/>
        <v>0</v>
      </c>
    </row>
    <row r="16" spans="1:18" x14ac:dyDescent="0.2">
      <c r="R16">
        <f t="shared" si="0"/>
        <v>0</v>
      </c>
    </row>
    <row r="17" spans="18:18" x14ac:dyDescent="0.2">
      <c r="R17">
        <f t="shared" si="0"/>
        <v>0</v>
      </c>
    </row>
    <row r="18" spans="18:18" x14ac:dyDescent="0.2">
      <c r="R18">
        <f t="shared" si="0"/>
        <v>0</v>
      </c>
    </row>
    <row r="19" spans="18:18" x14ac:dyDescent="0.2">
      <c r="R19">
        <f t="shared" si="0"/>
        <v>0</v>
      </c>
    </row>
    <row r="20" spans="18:18" x14ac:dyDescent="0.2">
      <c r="R20">
        <f t="shared" si="0"/>
        <v>0</v>
      </c>
    </row>
    <row r="21" spans="18:18" x14ac:dyDescent="0.2">
      <c r="R21">
        <f t="shared" si="0"/>
        <v>0</v>
      </c>
    </row>
    <row r="22" spans="18:18" x14ac:dyDescent="0.2">
      <c r="R22">
        <f t="shared" si="0"/>
        <v>0</v>
      </c>
    </row>
    <row r="23" spans="18:18" x14ac:dyDescent="0.2">
      <c r="R23">
        <f t="shared" si="0"/>
        <v>0</v>
      </c>
    </row>
    <row r="24" spans="18:18" x14ac:dyDescent="0.2">
      <c r="R24">
        <f t="shared" si="0"/>
        <v>0</v>
      </c>
    </row>
    <row r="25" spans="18:18" x14ac:dyDescent="0.2">
      <c r="R25">
        <f t="shared" si="0"/>
        <v>0</v>
      </c>
    </row>
    <row r="26" spans="18:18" x14ac:dyDescent="0.2">
      <c r="R26">
        <f t="shared" si="0"/>
        <v>0</v>
      </c>
    </row>
    <row r="27" spans="18:18" x14ac:dyDescent="0.2">
      <c r="R27">
        <f t="shared" si="0"/>
        <v>0</v>
      </c>
    </row>
    <row r="28" spans="18:18" x14ac:dyDescent="0.2">
      <c r="R28">
        <f t="shared" si="0"/>
        <v>0</v>
      </c>
    </row>
    <row r="29" spans="18:18" x14ac:dyDescent="0.2">
      <c r="R29">
        <f t="shared" si="0"/>
        <v>0</v>
      </c>
    </row>
    <row r="30" spans="18:18" x14ac:dyDescent="0.2">
      <c r="R30">
        <f t="shared" si="0"/>
        <v>0</v>
      </c>
    </row>
    <row r="31" spans="18:18" x14ac:dyDescent="0.2">
      <c r="R31">
        <f t="shared" si="0"/>
        <v>0</v>
      </c>
    </row>
    <row r="32" spans="18:18" x14ac:dyDescent="0.2">
      <c r="R32">
        <f t="shared" si="0"/>
        <v>0</v>
      </c>
    </row>
    <row r="33" spans="18:18" x14ac:dyDescent="0.2">
      <c r="R33">
        <f t="shared" si="0"/>
        <v>0</v>
      </c>
    </row>
    <row r="34" spans="18:18" x14ac:dyDescent="0.2">
      <c r="R34">
        <f t="shared" si="0"/>
        <v>0</v>
      </c>
    </row>
    <row r="35" spans="18:18" x14ac:dyDescent="0.2">
      <c r="R35">
        <f t="shared" si="0"/>
        <v>0</v>
      </c>
    </row>
    <row r="36" spans="18:18" x14ac:dyDescent="0.2">
      <c r="R36">
        <f t="shared" si="0"/>
        <v>0</v>
      </c>
    </row>
    <row r="37" spans="18:18" x14ac:dyDescent="0.2">
      <c r="R37">
        <f t="shared" si="0"/>
        <v>0</v>
      </c>
    </row>
    <row r="38" spans="18:18" x14ac:dyDescent="0.2">
      <c r="R38">
        <f t="shared" si="0"/>
        <v>0</v>
      </c>
    </row>
    <row r="39" spans="18:18" x14ac:dyDescent="0.2">
      <c r="R39">
        <f t="shared" si="0"/>
        <v>0</v>
      </c>
    </row>
    <row r="40" spans="18:18" x14ac:dyDescent="0.2">
      <c r="R40">
        <f t="shared" si="0"/>
        <v>0</v>
      </c>
    </row>
    <row r="41" spans="18:18" x14ac:dyDescent="0.2">
      <c r="R41">
        <f t="shared" si="0"/>
        <v>0</v>
      </c>
    </row>
    <row r="42" spans="18:18" x14ac:dyDescent="0.2">
      <c r="R42">
        <f t="shared" si="0"/>
        <v>0</v>
      </c>
    </row>
    <row r="43" spans="18:18" x14ac:dyDescent="0.2">
      <c r="R43">
        <f t="shared" si="0"/>
        <v>0</v>
      </c>
    </row>
    <row r="44" spans="18:18" x14ac:dyDescent="0.2">
      <c r="R44">
        <f t="shared" si="0"/>
        <v>0</v>
      </c>
    </row>
    <row r="45" spans="18:18" x14ac:dyDescent="0.2">
      <c r="R45">
        <f t="shared" si="0"/>
        <v>0</v>
      </c>
    </row>
    <row r="46" spans="18:18" x14ac:dyDescent="0.2">
      <c r="R46">
        <f t="shared" si="0"/>
        <v>0</v>
      </c>
    </row>
    <row r="47" spans="18:18" x14ac:dyDescent="0.2">
      <c r="R47">
        <f t="shared" si="0"/>
        <v>0</v>
      </c>
    </row>
    <row r="48" spans="18:18" x14ac:dyDescent="0.2">
      <c r="R48">
        <f t="shared" si="0"/>
        <v>0</v>
      </c>
    </row>
    <row r="49" spans="18:18" x14ac:dyDescent="0.2">
      <c r="R49">
        <f t="shared" si="0"/>
        <v>0</v>
      </c>
    </row>
    <row r="50" spans="18:18" x14ac:dyDescent="0.2">
      <c r="R50">
        <f t="shared" si="0"/>
        <v>0</v>
      </c>
    </row>
    <row r="51" spans="18:18" x14ac:dyDescent="0.2">
      <c r="R51">
        <f t="shared" si="0"/>
        <v>0</v>
      </c>
    </row>
    <row r="52" spans="18:18" x14ac:dyDescent="0.2">
      <c r="R52">
        <f t="shared" si="0"/>
        <v>0</v>
      </c>
    </row>
    <row r="53" spans="18:18" x14ac:dyDescent="0.2">
      <c r="R53">
        <f t="shared" si="0"/>
        <v>0</v>
      </c>
    </row>
    <row r="54" spans="18:18" x14ac:dyDescent="0.2">
      <c r="R54">
        <f t="shared" si="0"/>
        <v>0</v>
      </c>
    </row>
    <row r="55" spans="18:18" x14ac:dyDescent="0.2">
      <c r="R55">
        <f t="shared" si="0"/>
        <v>0</v>
      </c>
    </row>
    <row r="56" spans="18:18" x14ac:dyDescent="0.2">
      <c r="R56">
        <f t="shared" si="0"/>
        <v>0</v>
      </c>
    </row>
    <row r="57" spans="18:18" x14ac:dyDescent="0.2">
      <c r="R57">
        <f t="shared" ref="R57:R58" si="1">E57*H57</f>
        <v>0</v>
      </c>
    </row>
    <row r="58" spans="18:18" x14ac:dyDescent="0.2">
      <c r="R58">
        <f t="shared" si="1"/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DC6E9-AD16-46D9-94C2-532DD181DE5E}">
  <sheetPr codeName="Blad7"/>
  <dimension ref="A1:AE47"/>
  <sheetViews>
    <sheetView topLeftCell="A23" workbookViewId="0">
      <selection activeCell="J43" sqref="J43"/>
    </sheetView>
  </sheetViews>
  <sheetFormatPr defaultRowHeight="11.25" x14ac:dyDescent="0.2"/>
  <cols>
    <col min="1" max="2" width="14.85546875" style="391" bestFit="1" customWidth="1"/>
    <col min="3" max="3" width="20.140625" style="391" bestFit="1" customWidth="1"/>
    <col min="4" max="4" width="14.7109375" style="391" bestFit="1" customWidth="1"/>
    <col min="5" max="5" width="5" style="391" bestFit="1" customWidth="1"/>
    <col min="6" max="6" width="9.42578125" style="391" bestFit="1" customWidth="1"/>
    <col min="7" max="7" width="14.85546875" style="391" bestFit="1" customWidth="1"/>
    <col min="8" max="8" width="10" style="391" bestFit="1" customWidth="1"/>
    <col min="9" max="9" width="5" style="391" bestFit="1" customWidth="1"/>
    <col min="10" max="10" width="16.85546875" style="391" bestFit="1" customWidth="1"/>
    <col min="11" max="11" width="5" style="391" bestFit="1" customWidth="1"/>
    <col min="12" max="12" width="14.7109375" style="391" bestFit="1" customWidth="1"/>
    <col min="13" max="13" width="14" style="391" bestFit="1" customWidth="1"/>
    <col min="14" max="14" width="14.7109375" style="391" bestFit="1" customWidth="1"/>
    <col min="15" max="15" width="15.28515625" style="391" bestFit="1" customWidth="1"/>
    <col min="16" max="16" width="22.28515625" style="391" bestFit="1" customWidth="1"/>
    <col min="17" max="17" width="15.28515625" style="391" bestFit="1" customWidth="1"/>
    <col min="18" max="18" width="16" style="391" bestFit="1" customWidth="1"/>
    <col min="19" max="19" width="22.28515625" style="391" bestFit="1" customWidth="1"/>
    <col min="20" max="20" width="11.140625" style="391" bestFit="1" customWidth="1"/>
    <col min="21" max="21" width="6.42578125" style="391" bestFit="1" customWidth="1"/>
    <col min="22" max="22" width="16.85546875" style="391" bestFit="1" customWidth="1"/>
    <col min="23" max="23" width="9.5703125" style="391" bestFit="1" customWidth="1"/>
    <col min="24" max="24" width="11.140625" style="391" bestFit="1" customWidth="1"/>
    <col min="25" max="25" width="9.5703125" style="391" bestFit="1" customWidth="1"/>
    <col min="26" max="26" width="14.7109375" style="391" bestFit="1" customWidth="1"/>
    <col min="27" max="27" width="14" style="391" bestFit="1" customWidth="1"/>
    <col min="28" max="28" width="14.7109375" style="391" bestFit="1" customWidth="1"/>
    <col min="29" max="29" width="15.28515625" style="391" bestFit="1" customWidth="1"/>
    <col min="30" max="30" width="16" style="391" bestFit="1" customWidth="1"/>
    <col min="31" max="31" width="22.28515625" style="391" bestFit="1" customWidth="1"/>
    <col min="32" max="32" width="14.7109375" style="391" bestFit="1" customWidth="1"/>
    <col min="33" max="33" width="14" style="391" bestFit="1" customWidth="1"/>
    <col min="34" max="34" width="14.7109375" style="391" bestFit="1" customWidth="1"/>
    <col min="35" max="35" width="15.28515625" style="391" customWidth="1"/>
    <col min="36" max="36" width="16" style="391" bestFit="1" customWidth="1"/>
    <col min="37" max="37" width="15.85546875" style="391" bestFit="1" customWidth="1"/>
    <col min="38" max="16384" width="9.140625" style="391"/>
  </cols>
  <sheetData>
    <row r="1" spans="1:31" ht="12.75" x14ac:dyDescent="0.2">
      <c r="A1" s="554"/>
      <c r="B1" s="555" t="s">
        <v>246</v>
      </c>
      <c r="C1" s="554"/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ht="12.75" x14ac:dyDescent="0.2">
      <c r="A2" s="554"/>
      <c r="B2" s="554" t="s">
        <v>247</v>
      </c>
      <c r="C2" s="554"/>
      <c r="D2" s="554" t="s">
        <v>243</v>
      </c>
      <c r="E2" s="554"/>
      <c r="F2" s="554" t="s">
        <v>239</v>
      </c>
      <c r="G2" s="554"/>
      <c r="H2" s="554" t="s">
        <v>241</v>
      </c>
      <c r="I2" s="554"/>
      <c r="J2" s="554" t="s">
        <v>253</v>
      </c>
      <c r="K2" s="554"/>
      <c r="L2" s="554" t="s">
        <v>248</v>
      </c>
      <c r="M2" s="554" t="s">
        <v>244</v>
      </c>
      <c r="N2" s="554" t="s">
        <v>240</v>
      </c>
      <c r="O2" s="554" t="s">
        <v>242</v>
      </c>
      <c r="P2" s="554" t="s">
        <v>252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ht="12.75" x14ac:dyDescent="0.2">
      <c r="A3" s="555" t="s">
        <v>139</v>
      </c>
      <c r="B3" s="554" t="s">
        <v>99</v>
      </c>
      <c r="C3" s="554" t="s">
        <v>100</v>
      </c>
      <c r="D3" s="554" t="s">
        <v>99</v>
      </c>
      <c r="E3" s="554" t="s">
        <v>100</v>
      </c>
      <c r="F3" s="554" t="s">
        <v>99</v>
      </c>
      <c r="G3" s="554" t="s">
        <v>100</v>
      </c>
      <c r="H3" s="554" t="s">
        <v>99</v>
      </c>
      <c r="I3" s="554" t="s">
        <v>100</v>
      </c>
      <c r="J3" s="554" t="s">
        <v>99</v>
      </c>
      <c r="K3" s="554" t="s">
        <v>100</v>
      </c>
      <c r="L3" s="554"/>
      <c r="M3" s="554"/>
      <c r="N3" s="554"/>
      <c r="O3" s="554"/>
      <c r="P3" s="554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ht="12.75" x14ac:dyDescent="0.2">
      <c r="A4" s="556" t="s">
        <v>126</v>
      </c>
      <c r="B4" s="557"/>
      <c r="C4" s="557">
        <v>1000</v>
      </c>
      <c r="D4" s="558"/>
      <c r="E4" s="558">
        <v>80</v>
      </c>
      <c r="F4" s="559"/>
      <c r="G4" s="559">
        <v>800</v>
      </c>
      <c r="H4" s="559"/>
      <c r="I4" s="559">
        <v>8</v>
      </c>
      <c r="J4" s="559"/>
      <c r="K4" s="559">
        <v>800</v>
      </c>
      <c r="L4" s="557">
        <v>1000</v>
      </c>
      <c r="M4" s="558">
        <v>80</v>
      </c>
      <c r="N4" s="559">
        <v>800</v>
      </c>
      <c r="O4" s="559">
        <v>8</v>
      </c>
      <c r="P4" s="559">
        <v>800</v>
      </c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ht="12.75" x14ac:dyDescent="0.2">
      <c r="A5" s="556" t="s">
        <v>229</v>
      </c>
      <c r="B5" s="557">
        <v>1000</v>
      </c>
      <c r="C5" s="557"/>
      <c r="D5" s="558">
        <v>100</v>
      </c>
      <c r="E5" s="558"/>
      <c r="F5" s="559">
        <v>1000</v>
      </c>
      <c r="G5" s="559"/>
      <c r="H5" s="559">
        <v>0</v>
      </c>
      <c r="I5" s="559"/>
      <c r="J5" s="559">
        <v>1000</v>
      </c>
      <c r="K5" s="559"/>
      <c r="L5" s="557">
        <v>1000</v>
      </c>
      <c r="M5" s="558">
        <v>100</v>
      </c>
      <c r="N5" s="559">
        <v>1000</v>
      </c>
      <c r="O5" s="559">
        <v>0</v>
      </c>
      <c r="P5" s="559">
        <v>1000</v>
      </c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2.75" x14ac:dyDescent="0.2">
      <c r="A6" s="556" t="s">
        <v>140</v>
      </c>
      <c r="B6" s="557">
        <v>1000</v>
      </c>
      <c r="C6" s="557">
        <v>1000</v>
      </c>
      <c r="D6" s="558">
        <v>100</v>
      </c>
      <c r="E6" s="558">
        <v>80</v>
      </c>
      <c r="F6" s="559">
        <v>1000</v>
      </c>
      <c r="G6" s="559">
        <v>800</v>
      </c>
      <c r="H6" s="559">
        <v>0</v>
      </c>
      <c r="I6" s="559">
        <v>8</v>
      </c>
      <c r="J6" s="559">
        <v>1000</v>
      </c>
      <c r="K6" s="559">
        <v>800</v>
      </c>
      <c r="L6" s="557">
        <v>2000</v>
      </c>
      <c r="M6" s="558">
        <v>90</v>
      </c>
      <c r="N6" s="559">
        <v>1800</v>
      </c>
      <c r="O6" s="559">
        <v>8</v>
      </c>
      <c r="P6" s="559">
        <v>1800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2.75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ht="12.75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ht="12.75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ht="12.75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ht="12.75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ht="12.75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ht="12.75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ht="12.75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20" spans="1:9" ht="12.75" x14ac:dyDescent="0.2">
      <c r="A20" s="555" t="s">
        <v>246</v>
      </c>
      <c r="B20" s="554"/>
      <c r="C20" s="554"/>
      <c r="D20" s="554"/>
      <c r="E20"/>
      <c r="G20" s="554" t="s">
        <v>254</v>
      </c>
      <c r="H20"/>
    </row>
    <row r="21" spans="1:9" ht="12.75" x14ac:dyDescent="0.2">
      <c r="A21" s="554" t="s">
        <v>100</v>
      </c>
      <c r="B21" s="554"/>
      <c r="C21" s="554" t="s">
        <v>256</v>
      </c>
      <c r="D21" s="554" t="s">
        <v>240</v>
      </c>
      <c r="E21"/>
      <c r="G21" s="559">
        <v>1800</v>
      </c>
      <c r="H21"/>
    </row>
    <row r="22" spans="1:9" ht="12.75" x14ac:dyDescent="0.2">
      <c r="A22" s="554" t="s">
        <v>254</v>
      </c>
      <c r="B22" s="554" t="s">
        <v>239</v>
      </c>
      <c r="C22" s="554"/>
      <c r="D22" s="554"/>
      <c r="E22"/>
      <c r="G22"/>
      <c r="H22"/>
    </row>
    <row r="23" spans="1:9" ht="12.75" x14ac:dyDescent="0.2">
      <c r="A23" s="559">
        <v>800</v>
      </c>
      <c r="B23" s="559">
        <v>800</v>
      </c>
      <c r="C23" s="559">
        <v>800</v>
      </c>
      <c r="D23" s="559">
        <v>800</v>
      </c>
      <c r="E23"/>
      <c r="G23"/>
      <c r="H23"/>
    </row>
    <row r="24" spans="1:9" ht="12.75" x14ac:dyDescent="0.2">
      <c r="A24"/>
      <c r="B24"/>
      <c r="C24"/>
      <c r="D24"/>
      <c r="E24"/>
      <c r="G24"/>
      <c r="H24"/>
    </row>
    <row r="25" spans="1:9" ht="12.75" x14ac:dyDescent="0.2">
      <c r="A25"/>
      <c r="B25"/>
      <c r="C25"/>
      <c r="D25"/>
      <c r="E25"/>
      <c r="G25"/>
      <c r="H25"/>
    </row>
    <row r="26" spans="1:9" ht="12.75" x14ac:dyDescent="0.2">
      <c r="A26"/>
      <c r="B26"/>
      <c r="C26"/>
      <c r="D26"/>
      <c r="E26"/>
    </row>
    <row r="30" spans="1:9" ht="12.75" x14ac:dyDescent="0.2">
      <c r="A30" s="555" t="s">
        <v>239</v>
      </c>
      <c r="B30" s="555" t="s">
        <v>246</v>
      </c>
      <c r="C30" s="554"/>
      <c r="D30"/>
      <c r="E30"/>
      <c r="F30"/>
      <c r="G30"/>
      <c r="H30"/>
      <c r="I30" s="525"/>
    </row>
    <row r="31" spans="1:9" ht="12.75" x14ac:dyDescent="0.2">
      <c r="A31" s="555" t="s">
        <v>139</v>
      </c>
      <c r="B31" s="554" t="s">
        <v>126</v>
      </c>
      <c r="C31" s="554" t="s">
        <v>140</v>
      </c>
      <c r="D31"/>
      <c r="E31"/>
      <c r="F31"/>
      <c r="G31"/>
      <c r="H31"/>
      <c r="I31" s="525"/>
    </row>
    <row r="32" spans="1:9" ht="12.75" x14ac:dyDescent="0.2">
      <c r="A32" s="556" t="s">
        <v>99</v>
      </c>
      <c r="B32" s="559"/>
      <c r="C32" s="559"/>
      <c r="D32"/>
      <c r="E32"/>
      <c r="F32"/>
      <c r="G32"/>
      <c r="H32"/>
    </row>
    <row r="33" spans="1:9" ht="12.75" x14ac:dyDescent="0.2">
      <c r="A33" s="556" t="s">
        <v>100</v>
      </c>
      <c r="B33" s="559">
        <v>800</v>
      </c>
      <c r="C33" s="559">
        <v>800</v>
      </c>
      <c r="D33"/>
      <c r="E33"/>
      <c r="F33"/>
      <c r="G33"/>
      <c r="H33"/>
    </row>
    <row r="34" spans="1:9" ht="12.75" x14ac:dyDescent="0.2">
      <c r="A34" s="556" t="s">
        <v>217</v>
      </c>
      <c r="B34" s="559"/>
      <c r="C34" s="559"/>
      <c r="D34"/>
      <c r="E34"/>
      <c r="F34"/>
      <c r="G34"/>
      <c r="H34"/>
    </row>
    <row r="35" spans="1:9" ht="12.75" x14ac:dyDescent="0.2">
      <c r="A35" s="556" t="s">
        <v>111</v>
      </c>
      <c r="B35" s="559"/>
      <c r="C35" s="559"/>
      <c r="D35"/>
      <c r="E35"/>
      <c r="F35"/>
      <c r="G35"/>
      <c r="H35"/>
    </row>
    <row r="36" spans="1:9" ht="12.75" x14ac:dyDescent="0.2">
      <c r="A36" s="556" t="s">
        <v>140</v>
      </c>
      <c r="B36" s="559">
        <v>800</v>
      </c>
      <c r="C36" s="559">
        <v>800</v>
      </c>
      <c r="D36"/>
      <c r="E36"/>
      <c r="F36"/>
      <c r="G36"/>
      <c r="H36"/>
      <c r="I36" s="525"/>
    </row>
    <row r="40" spans="1:9" x14ac:dyDescent="0.2">
      <c r="A40" s="555" t="s">
        <v>139</v>
      </c>
      <c r="B40" s="554" t="s">
        <v>239</v>
      </c>
    </row>
    <row r="41" spans="1:9" x14ac:dyDescent="0.2">
      <c r="A41" s="556" t="s">
        <v>126</v>
      </c>
      <c r="B41" s="559">
        <v>800</v>
      </c>
    </row>
    <row r="42" spans="1:9" x14ac:dyDescent="0.2">
      <c r="A42" s="556" t="s">
        <v>140</v>
      </c>
      <c r="B42" s="559">
        <v>800</v>
      </c>
    </row>
    <row r="43" spans="1:9" ht="12.75" x14ac:dyDescent="0.2">
      <c r="A43"/>
      <c r="B43"/>
    </row>
    <row r="44" spans="1:9" ht="12.75" x14ac:dyDescent="0.2">
      <c r="A44"/>
      <c r="B44"/>
    </row>
    <row r="45" spans="1:9" ht="12.75" x14ac:dyDescent="0.2">
      <c r="A45"/>
      <c r="B45"/>
    </row>
    <row r="46" spans="1:9" ht="12.75" x14ac:dyDescent="0.2">
      <c r="A46"/>
      <c r="B46"/>
    </row>
    <row r="47" spans="1:9" ht="12.75" x14ac:dyDescent="0.2">
      <c r="A47"/>
      <c r="B47"/>
    </row>
  </sheetData>
  <pageMargins left="0.7" right="0.7" top="0.75" bottom="0.75" header="0.3" footer="0.3"/>
  <pageSetup paperSize="9"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A97CA-AFD1-465E-AA5F-CA185ED1D126}">
  <sheetPr codeName="Blad5"/>
  <dimension ref="A1:G26"/>
  <sheetViews>
    <sheetView tabSelected="1" zoomScale="235" zoomScaleNormal="235" workbookViewId="0">
      <selection activeCell="K5" sqref="K5"/>
    </sheetView>
  </sheetViews>
  <sheetFormatPr defaultRowHeight="12.75" x14ac:dyDescent="0.2"/>
  <cols>
    <col min="1" max="1" width="13.140625" style="1" bestFit="1" customWidth="1"/>
    <col min="2" max="2" width="11.140625" style="1" customWidth="1"/>
    <col min="3" max="4" width="9.140625" style="528"/>
    <col min="5" max="5" width="7.7109375" style="528" customWidth="1"/>
    <col min="6" max="6" width="17.5703125" style="1" customWidth="1"/>
    <col min="7" max="8" width="4.7109375" style="1" customWidth="1"/>
    <col min="9" max="9" width="13.140625" style="1" bestFit="1" customWidth="1"/>
    <col min="10" max="16384" width="9.140625" style="1"/>
  </cols>
  <sheetData>
    <row r="1" spans="1:7" x14ac:dyDescent="0.2">
      <c r="A1" s="1" t="s">
        <v>268</v>
      </c>
      <c r="C1" s="527" t="s">
        <v>264</v>
      </c>
      <c r="D1" s="527" t="s">
        <v>265</v>
      </c>
      <c r="E1" s="527" t="s">
        <v>266</v>
      </c>
      <c r="F1" s="527" t="s">
        <v>267</v>
      </c>
    </row>
    <row r="2" spans="1:7" x14ac:dyDescent="0.2">
      <c r="A2" s="1" t="s">
        <v>99</v>
      </c>
      <c r="C2" s="527">
        <v>255</v>
      </c>
      <c r="D2" s="527">
        <v>255</v>
      </c>
      <c r="E2" s="527">
        <v>204</v>
      </c>
      <c r="F2" s="580" t="str" cm="1">
        <f t="array" ref="F2">myRGB(C2, D2, E2)</f>
        <v/>
      </c>
    </row>
    <row r="3" spans="1:7" x14ac:dyDescent="0.2">
      <c r="A3" s="1" t="s">
        <v>100</v>
      </c>
      <c r="C3" s="527">
        <v>194</v>
      </c>
      <c r="D3" s="527">
        <v>230</v>
      </c>
      <c r="E3" s="527">
        <v>153</v>
      </c>
      <c r="F3" s="585" t="str" cm="1">
        <f t="array" ref="F3">myRGB(C3, D3, E3)</f>
        <v/>
      </c>
    </row>
    <row r="4" spans="1:7" x14ac:dyDescent="0.2">
      <c r="A4" s="1" t="s">
        <v>217</v>
      </c>
      <c r="C4" s="527">
        <v>120</v>
      </c>
      <c r="D4" s="527">
        <v>198</v>
      </c>
      <c r="E4" s="527">
        <v>121</v>
      </c>
      <c r="F4" s="584" t="str" cm="1">
        <f t="array" ref="F4">myRGB(C4, D4, E4)</f>
        <v/>
      </c>
    </row>
    <row r="5" spans="1:7" x14ac:dyDescent="0.2">
      <c r="A5" s="1" t="s">
        <v>111</v>
      </c>
      <c r="C5" s="527">
        <v>35</v>
      </c>
      <c r="D5" s="527">
        <v>132</v>
      </c>
      <c r="E5" s="527">
        <v>67</v>
      </c>
      <c r="F5" s="581" t="str" cm="1">
        <f t="array" ref="F5">myRGB(C5, D5, E5)</f>
        <v/>
      </c>
    </row>
    <row r="6" spans="1:7" x14ac:dyDescent="0.2">
      <c r="A6" s="530"/>
      <c r="B6" s="530"/>
      <c r="C6" s="4"/>
      <c r="D6" s="4"/>
      <c r="E6" s="4"/>
    </row>
    <row r="7" spans="1:7" x14ac:dyDescent="0.2">
      <c r="A7" s="529">
        <v>0</v>
      </c>
      <c r="B7" s="529"/>
      <c r="C7" s="4">
        <v>250</v>
      </c>
      <c r="D7" s="4">
        <v>250</v>
      </c>
      <c r="E7" s="4">
        <v>250</v>
      </c>
      <c r="F7" s="582" t="str" cm="1">
        <f t="array" ref="F7">myRGB(C7, D7, E7)</f>
        <v/>
      </c>
    </row>
    <row r="8" spans="1:7" x14ac:dyDescent="0.2">
      <c r="A8" s="1" t="s">
        <v>236</v>
      </c>
      <c r="C8" s="4">
        <v>161</v>
      </c>
      <c r="D8" s="4">
        <v>218</v>
      </c>
      <c r="E8" s="4">
        <v>180</v>
      </c>
      <c r="F8" s="583" t="str" cm="1">
        <f t="array" ref="F8">myRGB(C8, D8, E8)</f>
        <v/>
      </c>
    </row>
    <row r="9" spans="1:7" x14ac:dyDescent="0.2">
      <c r="A9" s="1" t="s">
        <v>235</v>
      </c>
      <c r="C9" s="4">
        <v>65</v>
      </c>
      <c r="D9" s="4">
        <v>182</v>
      </c>
      <c r="E9" s="4">
        <v>194</v>
      </c>
      <c r="F9" s="586" t="str" cm="1">
        <f t="array" ref="F9">myRGB(C9, D9, E9)</f>
        <v/>
      </c>
    </row>
    <row r="10" spans="1:7" x14ac:dyDescent="0.2">
      <c r="A10" s="1" t="s">
        <v>237</v>
      </c>
      <c r="C10" s="4">
        <v>44</v>
      </c>
      <c r="D10" s="4">
        <v>127</v>
      </c>
      <c r="E10" s="4">
        <v>193</v>
      </c>
      <c r="F10" s="579" t="str" cm="1">
        <f t="array" ref="F10">myRGB(C10, D10, E10)</f>
        <v/>
      </c>
    </row>
    <row r="11" spans="1:7" x14ac:dyDescent="0.2">
      <c r="A11" s="4"/>
      <c r="B11" s="4"/>
      <c r="C11" s="4"/>
      <c r="D11" s="4"/>
      <c r="E11" s="4"/>
      <c r="F11" s="526"/>
    </row>
    <row r="12" spans="1:7" x14ac:dyDescent="0.2">
      <c r="A12" s="1" t="s">
        <v>170</v>
      </c>
      <c r="B12" s="1" t="str">
        <f xml:space="preserve"> _xlfn.XLOOKUP(A12,typology_naam,typology_rgb)</f>
        <v>242,105,53</v>
      </c>
      <c r="C12" s="528" t="str" cm="1">
        <f t="array" ref="C12:E12">_xlfn.TEXTSPLIT(B12,",")</f>
        <v>242</v>
      </c>
      <c r="D12" s="527" t="str">
        <v>105</v>
      </c>
      <c r="E12" s="527" t="str">
        <v>53</v>
      </c>
      <c r="F12" s="569" t="str" cm="1">
        <f t="array" ref="F12">myRGB(C12, D12, E12)</f>
        <v/>
      </c>
      <c r="G12" s="1" t="str">
        <f>A12</f>
        <v>penthouse</v>
      </c>
    </row>
    <row r="13" spans="1:7" x14ac:dyDescent="0.2">
      <c r="A13" s="1" t="s">
        <v>96</v>
      </c>
      <c r="B13" s="1" t="str">
        <f xml:space="preserve"> _xlfn.XLOOKUP(A13,typology_naam,typology_rgb)</f>
        <v>142,53,11</v>
      </c>
      <c r="C13" s="528" t="str" cm="1">
        <f t="array" ref="C13:E13">_xlfn.TEXTSPLIT(B13,",")</f>
        <v>142</v>
      </c>
      <c r="D13" s="527" t="str">
        <v>53</v>
      </c>
      <c r="E13" s="527" t="str">
        <v>11</v>
      </c>
      <c r="F13" s="570" t="str" cm="1">
        <f t="array" ref="F13">myRGB(C13, D13, E13)</f>
        <v/>
      </c>
      <c r="G13" s="1" t="str">
        <f t="shared" ref="G13:G21" si="0">A13</f>
        <v>corridor</v>
      </c>
    </row>
    <row r="14" spans="1:7" x14ac:dyDescent="0.2">
      <c r="A14" s="1" t="s">
        <v>136</v>
      </c>
      <c r="B14" s="1" t="str">
        <f xml:space="preserve"> _xlfn.XLOOKUP(A14,typology_naam,typology_rgb)</f>
        <v>159,185,59</v>
      </c>
      <c r="C14" s="528" t="str" cm="1">
        <f t="array" ref="C14:E14">_xlfn.TEXTSPLIT(B14,",")</f>
        <v>159</v>
      </c>
      <c r="D14" s="527" t="str">
        <v>185</v>
      </c>
      <c r="E14" s="528" t="str">
        <v>59</v>
      </c>
      <c r="F14" s="571" t="str" cm="1">
        <f t="array" ref="F14">myRGB(C14, D14, E14)</f>
        <v/>
      </c>
      <c r="G14" s="1" t="str">
        <f t="shared" si="0"/>
        <v>galerij</v>
      </c>
    </row>
    <row r="15" spans="1:7" x14ac:dyDescent="0.2">
      <c r="A15" s="1" t="s">
        <v>126</v>
      </c>
      <c r="B15" s="1" t="str">
        <f xml:space="preserve"> _xlfn.XLOOKUP(A15,typology_naam,typology_rgb)</f>
        <v>140,93,97</v>
      </c>
      <c r="C15" s="528" t="str" cm="1">
        <f t="array" ref="C15:E15">_xlfn.TEXTSPLIT(B15,",")</f>
        <v>140</v>
      </c>
      <c r="D15" s="527" t="str">
        <v>93</v>
      </c>
      <c r="E15" s="528" t="str">
        <v>97</v>
      </c>
      <c r="F15" s="572" t="str" cm="1">
        <f t="array" ref="F15">myRGB(C15, D15, E15)</f>
        <v/>
      </c>
      <c r="G15" s="1" t="str">
        <f t="shared" si="0"/>
        <v>toren_laag</v>
      </c>
    </row>
    <row r="16" spans="1:7" x14ac:dyDescent="0.2">
      <c r="A16" s="1" t="s">
        <v>133</v>
      </c>
      <c r="B16" s="1" t="str">
        <f xml:space="preserve"> _xlfn.XLOOKUP(A16,typology_naam,typology_rgb)</f>
        <v>255,216,63</v>
      </c>
      <c r="C16" s="528" t="str" cm="1">
        <f t="array" ref="C16:E16">_xlfn.TEXTSPLIT(B16,",")</f>
        <v>255</v>
      </c>
      <c r="D16" s="527" t="str">
        <v>216</v>
      </c>
      <c r="E16" s="528" t="str">
        <v>63</v>
      </c>
      <c r="F16" s="573" t="str" cm="1">
        <f t="array" ref="F16">myRGB(C16, D16, E16)</f>
        <v/>
      </c>
      <c r="G16" s="1" t="str">
        <f t="shared" si="0"/>
        <v>retail</v>
      </c>
    </row>
    <row r="17" spans="1:7" x14ac:dyDescent="0.2">
      <c r="A17" s="1" t="s">
        <v>134</v>
      </c>
      <c r="B17" s="1" t="str">
        <f xml:space="preserve"> _xlfn.XLOOKUP(A17,typology_naam,typology_rgb)</f>
        <v>0,56,123</v>
      </c>
      <c r="C17" s="528" t="str" cm="1">
        <f t="array" ref="C17:E17">_xlfn.TEXTSPLIT(B17,",")</f>
        <v>0</v>
      </c>
      <c r="D17" s="527" t="str">
        <v>56</v>
      </c>
      <c r="E17" s="527" t="str">
        <v>123</v>
      </c>
      <c r="F17" s="574" t="str" cm="1">
        <f t="array" ref="F17">myRGB(C17, D17, E17)</f>
        <v/>
      </c>
      <c r="G17" s="1" t="str">
        <f t="shared" si="0"/>
        <v>office</v>
      </c>
    </row>
    <row r="18" spans="1:7" x14ac:dyDescent="0.2">
      <c r="A18" s="1" t="s">
        <v>137</v>
      </c>
      <c r="B18" s="1" t="str">
        <f xml:space="preserve"> _xlfn.XLOOKUP(A18,typology_naam,typology_rgb)</f>
        <v>188,190,192</v>
      </c>
      <c r="C18" s="528" t="str" cm="1">
        <f t="array" ref="C18:E18">_xlfn.TEXTSPLIT(B18,",")</f>
        <v>188</v>
      </c>
      <c r="D18" s="528" t="str">
        <v>190</v>
      </c>
      <c r="E18" s="528" t="str">
        <v>192</v>
      </c>
      <c r="F18" s="575" t="str" cm="1">
        <f t="array" ref="F18">myRGB(C18, D18, E18)</f>
        <v/>
      </c>
      <c r="G18" s="1" t="str">
        <f t="shared" si="0"/>
        <v>overig</v>
      </c>
    </row>
    <row r="19" spans="1:7" x14ac:dyDescent="0.2">
      <c r="A19" s="1" t="s">
        <v>161</v>
      </c>
      <c r="B19" s="1" t="str">
        <f xml:space="preserve"> _xlfn.XLOOKUP(A19,typology_naam,typology_rgb)</f>
        <v>230,231,232</v>
      </c>
      <c r="C19" s="528" t="str" cm="1">
        <f t="array" ref="C19:E19">_xlfn.TEXTSPLIT(B19,",")</f>
        <v>230</v>
      </c>
      <c r="D19" s="527" t="str">
        <v>231</v>
      </c>
      <c r="E19" s="528" t="str">
        <v>232</v>
      </c>
      <c r="F19" s="576" t="str" cm="1">
        <f t="array" ref="F19">myRGB(C19, D19, E19)</f>
        <v/>
      </c>
      <c r="G19" s="1" t="str">
        <f t="shared" si="0"/>
        <v>buitenruimte</v>
      </c>
    </row>
    <row r="20" spans="1:7" x14ac:dyDescent="0.2">
      <c r="A20" s="1" t="s">
        <v>162</v>
      </c>
      <c r="B20" s="1" t="str">
        <f xml:space="preserve"> _xlfn.XLOOKUP(A20,typology_naam,typology_rgb)</f>
        <v>88,89,91</v>
      </c>
      <c r="C20" s="528" t="str" cm="1">
        <f t="array" ref="C20:E20">_xlfn.TEXTSPLIT(B20,",")</f>
        <v>88</v>
      </c>
      <c r="D20" s="527" t="str">
        <v>89</v>
      </c>
      <c r="E20" s="527" t="str">
        <v>91</v>
      </c>
      <c r="F20" s="577" t="str" cm="1">
        <f t="array" ref="F20">myRGB(C20, D20, E20)</f>
        <v/>
      </c>
      <c r="G20" s="1" t="str">
        <f t="shared" si="0"/>
        <v>verkeersruimte</v>
      </c>
    </row>
    <row r="21" spans="1:7" x14ac:dyDescent="0.2">
      <c r="A21" s="1" t="s">
        <v>229</v>
      </c>
      <c r="B21" s="1" t="str">
        <f xml:space="preserve"> _xlfn.XLOOKUP(A21,typology_naam,typology_rgb)</f>
        <v>33,57,81</v>
      </c>
      <c r="C21" s="528" t="str" cm="1">
        <f t="array" ref="C21:E21">_xlfn.TEXTSPLIT(B21,",")</f>
        <v>33</v>
      </c>
      <c r="D21" s="527" t="str">
        <v>57</v>
      </c>
      <c r="E21" s="528" t="str">
        <v>81</v>
      </c>
      <c r="F21" s="578" t="str" cm="1">
        <f t="array" ref="F21">myRGB(C21, D21, E21)</f>
        <v/>
      </c>
      <c r="G21" s="1" t="str">
        <f t="shared" si="0"/>
        <v>parking</v>
      </c>
    </row>
    <row r="22" spans="1:7" x14ac:dyDescent="0.2">
      <c r="A22" s="4"/>
      <c r="B22" s="4"/>
      <c r="C22" s="4"/>
      <c r="D22" s="4"/>
    </row>
    <row r="23" spans="1:7" x14ac:dyDescent="0.2">
      <c r="A23" s="4"/>
      <c r="B23" s="4"/>
      <c r="C23" s="4"/>
      <c r="D23" s="4"/>
    </row>
    <row r="24" spans="1:7" x14ac:dyDescent="0.2">
      <c r="A24" s="4"/>
      <c r="B24" s="4"/>
      <c r="C24" s="4"/>
      <c r="D24" s="4"/>
    </row>
    <row r="25" spans="1:7" x14ac:dyDescent="0.2">
      <c r="A25" s="4"/>
      <c r="B25" s="4"/>
      <c r="C25" s="4"/>
      <c r="D25" s="4"/>
    </row>
    <row r="26" spans="1:7" x14ac:dyDescent="0.2">
      <c r="C26" s="4"/>
      <c r="D26" s="4"/>
      <c r="E26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912F4-ACE8-424F-9829-9154ACDC1F3D}">
  <sheetPr codeName="Blad9"/>
  <dimension ref="A1:AB101"/>
  <sheetViews>
    <sheetView topLeftCell="K1" workbookViewId="0">
      <selection activeCell="K1" sqref="A1:XFD1"/>
    </sheetView>
  </sheetViews>
  <sheetFormatPr defaultRowHeight="12.75" x14ac:dyDescent="0.2"/>
  <cols>
    <col min="1" max="1" width="15.7109375" bestFit="1" customWidth="1"/>
    <col min="2" max="3" width="13.7109375" bestFit="1" customWidth="1"/>
    <col min="4" max="6" width="13.42578125" customWidth="1"/>
    <col min="7" max="8" width="13.7109375" bestFit="1" customWidth="1"/>
    <col min="9" max="12" width="13.7109375" customWidth="1"/>
    <col min="13" max="15" width="15.85546875" bestFit="1" customWidth="1"/>
    <col min="16" max="16" width="15.85546875" customWidth="1"/>
    <col min="17" max="18" width="15.7109375" customWidth="1"/>
    <col min="19" max="19" width="17.7109375" customWidth="1"/>
    <col min="20" max="21" width="15.7109375" customWidth="1"/>
    <col min="22" max="27" width="13.28515625" bestFit="1" customWidth="1"/>
  </cols>
  <sheetData>
    <row r="1" spans="1:28" x14ac:dyDescent="0.2">
      <c r="A1" t="s">
        <v>141</v>
      </c>
      <c r="B1" t="s">
        <v>95</v>
      </c>
      <c r="C1" t="s">
        <v>95</v>
      </c>
      <c r="D1" t="s">
        <v>95</v>
      </c>
      <c r="E1" t="s">
        <v>95</v>
      </c>
      <c r="F1" t="s">
        <v>95</v>
      </c>
      <c r="G1" t="s">
        <v>95</v>
      </c>
      <c r="H1" t="s">
        <v>95</v>
      </c>
      <c r="I1" t="s">
        <v>95</v>
      </c>
      <c r="J1" s="117" t="s">
        <v>163</v>
      </c>
      <c r="K1" t="s">
        <v>170</v>
      </c>
      <c r="L1" t="s">
        <v>170</v>
      </c>
      <c r="M1" t="s">
        <v>96</v>
      </c>
      <c r="N1" t="s">
        <v>136</v>
      </c>
      <c r="O1" t="s">
        <v>136</v>
      </c>
      <c r="P1" t="s">
        <v>168</v>
      </c>
      <c r="Q1" t="s">
        <v>126</v>
      </c>
      <c r="R1" t="s">
        <v>126</v>
      </c>
      <c r="S1" s="117" t="s">
        <v>174</v>
      </c>
      <c r="T1" s="117" t="s">
        <v>127</v>
      </c>
      <c r="U1" s="117" t="s">
        <v>127</v>
      </c>
      <c r="V1" t="s">
        <v>133</v>
      </c>
      <c r="W1" t="s">
        <v>134</v>
      </c>
      <c r="X1" t="s">
        <v>134</v>
      </c>
      <c r="Y1" t="s">
        <v>137</v>
      </c>
      <c r="Z1" t="s">
        <v>161</v>
      </c>
      <c r="AA1" t="s">
        <v>162</v>
      </c>
      <c r="AB1" t="s">
        <v>229</v>
      </c>
    </row>
    <row r="2" spans="1:28" x14ac:dyDescent="0.2">
      <c r="A2" s="117" t="s">
        <v>175</v>
      </c>
      <c r="J2" s="117" t="s">
        <v>171</v>
      </c>
      <c r="K2" s="117" t="s">
        <v>172</v>
      </c>
      <c r="L2" s="117" t="s">
        <v>171</v>
      </c>
      <c r="M2" s="117" t="s">
        <v>171</v>
      </c>
      <c r="N2" s="117" t="s">
        <v>172</v>
      </c>
      <c r="O2" t="s">
        <v>171</v>
      </c>
      <c r="P2" t="s">
        <v>171</v>
      </c>
      <c r="Q2" t="s">
        <v>172</v>
      </c>
      <c r="R2" t="s">
        <v>171</v>
      </c>
      <c r="S2" s="117" t="s">
        <v>172</v>
      </c>
      <c r="T2" s="117" t="s">
        <v>171</v>
      </c>
      <c r="U2" s="117" t="s">
        <v>172</v>
      </c>
      <c r="V2" s="117" t="s">
        <v>171</v>
      </c>
      <c r="W2" s="117" t="s">
        <v>172</v>
      </c>
      <c r="X2" s="117" t="s">
        <v>171</v>
      </c>
      <c r="Y2" s="117" t="s">
        <v>171</v>
      </c>
      <c r="Z2" s="117" t="s">
        <v>171</v>
      </c>
      <c r="AA2" s="117" t="s">
        <v>171</v>
      </c>
      <c r="AB2" s="117" t="s">
        <v>171</v>
      </c>
    </row>
    <row r="3" spans="1:28" x14ac:dyDescent="0.2">
      <c r="A3" s="277" t="s">
        <v>173</v>
      </c>
      <c r="J3" s="117"/>
      <c r="K3" s="117"/>
      <c r="L3" s="117"/>
      <c r="M3" s="117"/>
      <c r="N3" s="117"/>
      <c r="S3" s="117"/>
      <c r="T3" s="117"/>
      <c r="U3" s="117"/>
    </row>
    <row r="4" spans="1:28" x14ac:dyDescent="0.2">
      <c r="A4" s="277" t="s">
        <v>173</v>
      </c>
      <c r="J4" s="117"/>
      <c r="K4" s="117"/>
      <c r="L4" s="117"/>
      <c r="M4" s="117"/>
      <c r="N4" s="117"/>
      <c r="S4" s="117"/>
      <c r="T4" s="117"/>
      <c r="U4" s="117"/>
    </row>
    <row r="5" spans="1:28" x14ac:dyDescent="0.2">
      <c r="A5" s="277" t="s">
        <v>173</v>
      </c>
      <c r="J5" s="117"/>
      <c r="K5" s="117"/>
      <c r="L5" s="117"/>
      <c r="M5" s="117"/>
      <c r="N5" s="117"/>
      <c r="S5" s="117"/>
      <c r="T5" s="117"/>
      <c r="U5" s="117"/>
    </row>
    <row r="6" spans="1:28" x14ac:dyDescent="0.2">
      <c r="A6" s="277" t="s">
        <v>173</v>
      </c>
      <c r="J6" s="117"/>
      <c r="K6" s="117"/>
      <c r="L6" s="117"/>
      <c r="M6" s="117"/>
      <c r="N6" s="117"/>
      <c r="S6" s="117"/>
      <c r="T6" s="117"/>
      <c r="U6" s="117"/>
      <c r="AB6" s="117" t="s">
        <v>216</v>
      </c>
    </row>
    <row r="7" spans="1:28" x14ac:dyDescent="0.2">
      <c r="A7" s="277" t="s">
        <v>173</v>
      </c>
      <c r="J7" s="117"/>
      <c r="K7" s="117"/>
      <c r="L7" s="117"/>
      <c r="M7" s="117"/>
      <c r="N7" s="117"/>
      <c r="S7" s="117"/>
      <c r="T7" s="117"/>
      <c r="U7" s="117"/>
      <c r="AB7" s="117" t="s">
        <v>215</v>
      </c>
    </row>
    <row r="8" spans="1:28" x14ac:dyDescent="0.2">
      <c r="A8" s="277" t="s">
        <v>173</v>
      </c>
      <c r="J8" s="117"/>
      <c r="K8" s="117"/>
      <c r="L8" s="117"/>
      <c r="M8" s="117"/>
      <c r="N8" s="117"/>
      <c r="S8" s="117"/>
      <c r="T8" s="117"/>
      <c r="U8" s="117"/>
    </row>
    <row r="9" spans="1:28" x14ac:dyDescent="0.2">
      <c r="A9" s="277" t="s">
        <v>173</v>
      </c>
      <c r="J9" s="117"/>
      <c r="K9" s="117"/>
      <c r="L9" s="117"/>
      <c r="M9" s="117"/>
      <c r="N9" s="117"/>
      <c r="S9" s="117"/>
      <c r="T9" s="117"/>
      <c r="U9" s="117"/>
    </row>
    <row r="10" spans="1:28" s="275" customFormat="1" ht="39.75" customHeight="1" x14ac:dyDescent="0.2">
      <c r="A10" s="276" t="s">
        <v>177</v>
      </c>
      <c r="B10" s="339" t="s">
        <v>169</v>
      </c>
      <c r="C10" s="339"/>
      <c r="D10" s="339"/>
      <c r="E10" s="339"/>
      <c r="F10" s="339"/>
      <c r="G10" s="339"/>
      <c r="H10" s="339"/>
      <c r="I10" s="548" t="s">
        <v>164</v>
      </c>
      <c r="J10" s="341" t="s">
        <v>169</v>
      </c>
      <c r="K10" s="342" t="s">
        <v>169</v>
      </c>
      <c r="L10" s="342" t="s">
        <v>169</v>
      </c>
      <c r="M10" s="343" t="s">
        <v>167</v>
      </c>
      <c r="N10" s="344" t="s">
        <v>176</v>
      </c>
      <c r="O10" s="344" t="s">
        <v>176</v>
      </c>
      <c r="P10" s="344" t="s">
        <v>176</v>
      </c>
      <c r="Q10" s="346" t="s">
        <v>165</v>
      </c>
      <c r="R10" s="346" t="s">
        <v>165</v>
      </c>
      <c r="S10" s="345" t="s">
        <v>165</v>
      </c>
      <c r="T10" s="346" t="s">
        <v>165</v>
      </c>
      <c r="U10" s="346" t="s">
        <v>165</v>
      </c>
      <c r="V10" s="347" t="s">
        <v>176</v>
      </c>
      <c r="W10" s="348" t="s">
        <v>176</v>
      </c>
      <c r="X10" s="348" t="s">
        <v>176</v>
      </c>
      <c r="Y10" s="350" t="s">
        <v>176</v>
      </c>
      <c r="Z10" s="351" t="s">
        <v>176</v>
      </c>
      <c r="AA10" s="349" t="s">
        <v>176</v>
      </c>
      <c r="AB10" s="371"/>
    </row>
    <row r="11" spans="1:28" x14ac:dyDescent="0.2">
      <c r="A11" t="s">
        <v>135</v>
      </c>
      <c r="B11" t="s">
        <v>202</v>
      </c>
      <c r="C11" t="s">
        <v>202</v>
      </c>
      <c r="D11" t="s">
        <v>202</v>
      </c>
      <c r="E11" t="s">
        <v>202</v>
      </c>
      <c r="F11" t="s">
        <v>202</v>
      </c>
      <c r="G11" t="s">
        <v>202</v>
      </c>
      <c r="H11" t="s">
        <v>202</v>
      </c>
      <c r="I11" t="s">
        <v>202</v>
      </c>
      <c r="J11" s="117" t="s">
        <v>204</v>
      </c>
      <c r="K11" s="117" t="s">
        <v>205</v>
      </c>
      <c r="L11" s="117" t="s">
        <v>205</v>
      </c>
      <c r="M11" s="117" t="s">
        <v>206</v>
      </c>
      <c r="N11" s="117" t="s">
        <v>207</v>
      </c>
      <c r="O11" s="117" t="s">
        <v>207</v>
      </c>
      <c r="P11" s="117" t="s">
        <v>207</v>
      </c>
      <c r="Q11" s="117" t="s">
        <v>209</v>
      </c>
      <c r="R11" s="117" t="s">
        <v>209</v>
      </c>
      <c r="S11" s="117" t="s">
        <v>208</v>
      </c>
      <c r="T11" s="117" t="s">
        <v>209</v>
      </c>
      <c r="U11" s="117" t="s">
        <v>209</v>
      </c>
      <c r="V11" s="117" t="s">
        <v>210</v>
      </c>
      <c r="W11" s="117" t="s">
        <v>211</v>
      </c>
      <c r="X11" s="117" t="s">
        <v>211</v>
      </c>
      <c r="Y11" s="117" t="s">
        <v>213</v>
      </c>
      <c r="Z11" s="117" t="s">
        <v>214</v>
      </c>
      <c r="AA11" s="117" t="s">
        <v>212</v>
      </c>
      <c r="AB11" s="117" t="s">
        <v>234</v>
      </c>
    </row>
    <row r="12" spans="1:28" ht="25.5" x14ac:dyDescent="0.2">
      <c r="A12" s="276" t="s">
        <v>166</v>
      </c>
      <c r="B12" s="269">
        <v>4400</v>
      </c>
      <c r="C12" s="269">
        <v>4800</v>
      </c>
      <c r="D12" s="269">
        <v>5400</v>
      </c>
      <c r="E12" s="269">
        <v>6300</v>
      </c>
      <c r="F12" s="269">
        <v>6800</v>
      </c>
      <c r="G12" s="269">
        <v>7200</v>
      </c>
      <c r="H12" s="269">
        <v>8100</v>
      </c>
      <c r="I12" s="269">
        <v>10000</v>
      </c>
      <c r="J12" s="269"/>
      <c r="K12" s="269"/>
      <c r="L12" s="269"/>
    </row>
    <row r="13" spans="1:28" x14ac:dyDescent="0.2">
      <c r="A13">
        <v>1</v>
      </c>
      <c r="B13">
        <v>86</v>
      </c>
      <c r="C13">
        <v>86</v>
      </c>
      <c r="D13">
        <v>86</v>
      </c>
      <c r="E13">
        <v>85</v>
      </c>
      <c r="F13">
        <v>85</v>
      </c>
      <c r="G13">
        <v>85</v>
      </c>
      <c r="H13">
        <v>85</v>
      </c>
      <c r="I13" s="279">
        <v>77</v>
      </c>
      <c r="J13">
        <v>83</v>
      </c>
      <c r="K13">
        <v>77</v>
      </c>
      <c r="L13">
        <v>83</v>
      </c>
      <c r="M13">
        <v>72</v>
      </c>
      <c r="N13">
        <v>74</v>
      </c>
      <c r="O13">
        <v>85</v>
      </c>
      <c r="P13">
        <v>83</v>
      </c>
      <c r="Q13">
        <v>79</v>
      </c>
      <c r="R13">
        <v>85</v>
      </c>
      <c r="S13" s="265">
        <f t="shared" ref="S13:S24" si="0">(A13*3*0.0002+0.774)*100</f>
        <v>77.460000000000008</v>
      </c>
      <c r="T13">
        <v>86</v>
      </c>
      <c r="U13" s="265">
        <f t="shared" ref="U13:U24" si="1">(A13*3*0.0003+0.7015)*100</f>
        <v>70.240000000000009</v>
      </c>
      <c r="V13">
        <v>85</v>
      </c>
      <c r="W13">
        <v>80</v>
      </c>
      <c r="X13">
        <v>90</v>
      </c>
      <c r="Y13">
        <v>90</v>
      </c>
      <c r="Z13">
        <v>100</v>
      </c>
      <c r="AA13">
        <v>90</v>
      </c>
      <c r="AB13">
        <v>100</v>
      </c>
    </row>
    <row r="14" spans="1:28" x14ac:dyDescent="0.2">
      <c r="A14">
        <v>2</v>
      </c>
      <c r="B14">
        <v>86</v>
      </c>
      <c r="C14">
        <v>86</v>
      </c>
      <c r="D14">
        <v>86</v>
      </c>
      <c r="E14">
        <v>85</v>
      </c>
      <c r="F14">
        <v>85</v>
      </c>
      <c r="G14">
        <v>85</v>
      </c>
      <c r="H14">
        <v>85</v>
      </c>
      <c r="I14" s="279">
        <v>77</v>
      </c>
      <c r="J14">
        <v>83</v>
      </c>
      <c r="K14">
        <v>77</v>
      </c>
      <c r="L14">
        <v>83</v>
      </c>
      <c r="M14">
        <v>72</v>
      </c>
      <c r="Q14">
        <v>79</v>
      </c>
      <c r="R14">
        <v>85</v>
      </c>
      <c r="S14" s="265">
        <f t="shared" si="0"/>
        <v>77.52</v>
      </c>
      <c r="T14">
        <v>86</v>
      </c>
      <c r="U14" s="265">
        <f t="shared" si="1"/>
        <v>70.33</v>
      </c>
    </row>
    <row r="15" spans="1:28" x14ac:dyDescent="0.2">
      <c r="A15">
        <v>3</v>
      </c>
      <c r="B15">
        <v>86</v>
      </c>
      <c r="C15">
        <v>86</v>
      </c>
      <c r="D15">
        <v>86</v>
      </c>
      <c r="E15">
        <v>85</v>
      </c>
      <c r="F15">
        <v>85</v>
      </c>
      <c r="G15">
        <v>85</v>
      </c>
      <c r="H15">
        <v>85</v>
      </c>
      <c r="I15" s="279">
        <v>78</v>
      </c>
      <c r="J15">
        <v>83</v>
      </c>
      <c r="K15">
        <v>77</v>
      </c>
      <c r="L15">
        <v>83</v>
      </c>
      <c r="M15">
        <v>72</v>
      </c>
      <c r="Q15">
        <f>Q14-0.4</f>
        <v>78.599999999999994</v>
      </c>
      <c r="R15">
        <v>85</v>
      </c>
      <c r="S15" s="265">
        <f t="shared" si="0"/>
        <v>77.58</v>
      </c>
      <c r="T15">
        <v>86</v>
      </c>
      <c r="U15" s="265">
        <f t="shared" si="1"/>
        <v>70.42</v>
      </c>
    </row>
    <row r="16" spans="1:28" x14ac:dyDescent="0.2">
      <c r="A16">
        <v>4</v>
      </c>
      <c r="B16">
        <v>86</v>
      </c>
      <c r="C16">
        <v>86</v>
      </c>
      <c r="D16">
        <v>86</v>
      </c>
      <c r="E16">
        <v>85</v>
      </c>
      <c r="F16">
        <v>85</v>
      </c>
      <c r="G16">
        <v>85</v>
      </c>
      <c r="H16">
        <v>85</v>
      </c>
      <c r="I16" s="279">
        <v>79</v>
      </c>
      <c r="J16">
        <v>83</v>
      </c>
      <c r="K16">
        <v>77</v>
      </c>
      <c r="L16">
        <v>83</v>
      </c>
      <c r="M16">
        <v>73</v>
      </c>
      <c r="Q16">
        <f>Q15-0.4</f>
        <v>78.199999999999989</v>
      </c>
      <c r="R16">
        <v>85</v>
      </c>
      <c r="S16" s="265">
        <f t="shared" si="0"/>
        <v>77.64</v>
      </c>
      <c r="T16">
        <v>86</v>
      </c>
      <c r="U16" s="265">
        <f t="shared" si="1"/>
        <v>70.510000000000005</v>
      </c>
    </row>
    <row r="17" spans="1:21" x14ac:dyDescent="0.2">
      <c r="A17">
        <v>5</v>
      </c>
      <c r="B17">
        <v>86</v>
      </c>
      <c r="C17">
        <v>86</v>
      </c>
      <c r="D17">
        <v>86</v>
      </c>
      <c r="E17">
        <v>85</v>
      </c>
      <c r="F17">
        <v>85</v>
      </c>
      <c r="G17">
        <v>85</v>
      </c>
      <c r="H17">
        <v>85</v>
      </c>
      <c r="I17" s="279">
        <v>80</v>
      </c>
      <c r="J17">
        <v>84</v>
      </c>
      <c r="K17">
        <v>77</v>
      </c>
      <c r="L17">
        <v>83</v>
      </c>
      <c r="M17">
        <v>73</v>
      </c>
      <c r="Q17">
        <f>Q16-0.4</f>
        <v>77.799999999999983</v>
      </c>
      <c r="R17">
        <v>85</v>
      </c>
      <c r="S17" s="265">
        <f t="shared" si="0"/>
        <v>77.7</v>
      </c>
      <c r="T17">
        <v>86</v>
      </c>
      <c r="U17" s="265">
        <f t="shared" si="1"/>
        <v>70.599999999999994</v>
      </c>
    </row>
    <row r="18" spans="1:21" x14ac:dyDescent="0.2">
      <c r="A18">
        <v>6</v>
      </c>
      <c r="B18">
        <v>86</v>
      </c>
      <c r="C18">
        <v>86</v>
      </c>
      <c r="D18">
        <v>86</v>
      </c>
      <c r="E18">
        <v>85</v>
      </c>
      <c r="F18">
        <v>85</v>
      </c>
      <c r="G18">
        <v>85</v>
      </c>
      <c r="H18">
        <v>85</v>
      </c>
      <c r="I18" s="279">
        <v>81</v>
      </c>
      <c r="J18">
        <v>84</v>
      </c>
      <c r="K18">
        <v>77</v>
      </c>
      <c r="L18">
        <v>83</v>
      </c>
      <c r="M18">
        <v>74</v>
      </c>
      <c r="Q18">
        <f>Q17</f>
        <v>77.799999999999983</v>
      </c>
      <c r="R18">
        <v>85</v>
      </c>
      <c r="S18" s="265">
        <f t="shared" si="0"/>
        <v>77.760000000000005</v>
      </c>
      <c r="T18">
        <v>86</v>
      </c>
      <c r="U18" s="265">
        <f t="shared" si="1"/>
        <v>70.69</v>
      </c>
    </row>
    <row r="19" spans="1:21" x14ac:dyDescent="0.2">
      <c r="A19">
        <v>7</v>
      </c>
      <c r="B19">
        <v>87</v>
      </c>
      <c r="C19">
        <v>87</v>
      </c>
      <c r="D19">
        <v>87</v>
      </c>
      <c r="E19">
        <v>85</v>
      </c>
      <c r="F19">
        <v>85</v>
      </c>
      <c r="G19">
        <v>85</v>
      </c>
      <c r="H19">
        <v>85</v>
      </c>
      <c r="I19" s="279">
        <v>82</v>
      </c>
      <c r="J19">
        <v>84</v>
      </c>
      <c r="K19">
        <v>77</v>
      </c>
      <c r="L19">
        <v>83</v>
      </c>
      <c r="M19">
        <v>74</v>
      </c>
      <c r="Q19">
        <f t="shared" ref="Q19:Q21" si="2">Q18</f>
        <v>77.799999999999983</v>
      </c>
      <c r="R19">
        <v>85</v>
      </c>
      <c r="S19" s="265">
        <f t="shared" si="0"/>
        <v>77.819999999999993</v>
      </c>
      <c r="T19">
        <v>86</v>
      </c>
      <c r="U19" s="265">
        <f t="shared" si="1"/>
        <v>70.78</v>
      </c>
    </row>
    <row r="20" spans="1:21" x14ac:dyDescent="0.2">
      <c r="A20">
        <v>8</v>
      </c>
      <c r="B20">
        <v>87</v>
      </c>
      <c r="C20">
        <v>87</v>
      </c>
      <c r="D20">
        <v>87</v>
      </c>
      <c r="E20">
        <v>85</v>
      </c>
      <c r="F20">
        <v>85</v>
      </c>
      <c r="G20">
        <v>85</v>
      </c>
      <c r="H20">
        <v>85</v>
      </c>
      <c r="I20" s="279">
        <v>83</v>
      </c>
      <c r="J20">
        <v>84</v>
      </c>
      <c r="K20">
        <v>77</v>
      </c>
      <c r="L20">
        <v>83</v>
      </c>
      <c r="M20">
        <v>75</v>
      </c>
      <c r="Q20">
        <f t="shared" si="2"/>
        <v>77.799999999999983</v>
      </c>
      <c r="R20">
        <v>85</v>
      </c>
      <c r="S20" s="265">
        <f t="shared" si="0"/>
        <v>77.88000000000001</v>
      </c>
      <c r="T20">
        <v>86</v>
      </c>
      <c r="U20" s="265">
        <f t="shared" si="1"/>
        <v>70.87</v>
      </c>
    </row>
    <row r="21" spans="1:21" x14ac:dyDescent="0.2">
      <c r="A21">
        <v>9</v>
      </c>
      <c r="B21">
        <v>87</v>
      </c>
      <c r="C21">
        <v>87</v>
      </c>
      <c r="D21">
        <v>87</v>
      </c>
      <c r="E21">
        <v>85</v>
      </c>
      <c r="F21">
        <v>85</v>
      </c>
      <c r="G21">
        <v>85</v>
      </c>
      <c r="H21">
        <v>85</v>
      </c>
      <c r="I21" s="279">
        <v>84</v>
      </c>
      <c r="J21">
        <v>84</v>
      </c>
      <c r="K21">
        <v>77</v>
      </c>
      <c r="L21">
        <v>83</v>
      </c>
      <c r="M21">
        <v>76</v>
      </c>
      <c r="Q21">
        <f t="shared" si="2"/>
        <v>77.799999999999983</v>
      </c>
      <c r="R21">
        <v>85</v>
      </c>
      <c r="S21" s="265">
        <f t="shared" si="0"/>
        <v>77.94</v>
      </c>
      <c r="T21">
        <v>86</v>
      </c>
      <c r="U21" s="265">
        <f t="shared" si="1"/>
        <v>70.960000000000008</v>
      </c>
    </row>
    <row r="22" spans="1:21" x14ac:dyDescent="0.2">
      <c r="A22">
        <v>10</v>
      </c>
      <c r="B22">
        <v>87</v>
      </c>
      <c r="C22">
        <v>87</v>
      </c>
      <c r="D22">
        <v>87</v>
      </c>
      <c r="E22">
        <v>85</v>
      </c>
      <c r="F22">
        <v>85</v>
      </c>
      <c r="G22">
        <v>85</v>
      </c>
      <c r="H22">
        <v>85</v>
      </c>
      <c r="I22" s="279">
        <v>85</v>
      </c>
      <c r="J22">
        <v>84</v>
      </c>
      <c r="K22">
        <v>77</v>
      </c>
      <c r="L22">
        <v>83</v>
      </c>
      <c r="M22">
        <v>77</v>
      </c>
      <c r="Q22">
        <v>78</v>
      </c>
      <c r="R22">
        <v>85</v>
      </c>
      <c r="S22" s="265">
        <f t="shared" si="0"/>
        <v>78</v>
      </c>
      <c r="T22">
        <v>86</v>
      </c>
      <c r="U22" s="265">
        <f t="shared" si="1"/>
        <v>71.05</v>
      </c>
    </row>
    <row r="23" spans="1:21" x14ac:dyDescent="0.2">
      <c r="A23">
        <v>11</v>
      </c>
      <c r="M23">
        <v>78</v>
      </c>
      <c r="Q23">
        <v>78</v>
      </c>
      <c r="R23">
        <v>85</v>
      </c>
      <c r="S23" s="265">
        <f t="shared" si="0"/>
        <v>78.06</v>
      </c>
      <c r="T23">
        <v>86</v>
      </c>
      <c r="U23" s="265">
        <f t="shared" si="1"/>
        <v>71.14</v>
      </c>
    </row>
    <row r="24" spans="1:21" x14ac:dyDescent="0.2">
      <c r="A24">
        <v>12</v>
      </c>
      <c r="M24">
        <v>79</v>
      </c>
      <c r="Q24">
        <v>78</v>
      </c>
      <c r="R24">
        <v>85</v>
      </c>
      <c r="S24" s="265">
        <f t="shared" si="0"/>
        <v>78.12</v>
      </c>
      <c r="T24">
        <v>86</v>
      </c>
      <c r="U24" s="265">
        <f t="shared" si="1"/>
        <v>71.23</v>
      </c>
    </row>
    <row r="25" spans="1:21" x14ac:dyDescent="0.2">
      <c r="A25">
        <v>13</v>
      </c>
      <c r="M25">
        <v>80</v>
      </c>
      <c r="Q25">
        <v>78</v>
      </c>
      <c r="R25">
        <v>85</v>
      </c>
      <c r="S25" s="265">
        <f>(A25*3*0.0002+0.774)*100</f>
        <v>78.180000000000007</v>
      </c>
      <c r="T25">
        <v>86</v>
      </c>
      <c r="U25" s="265">
        <f>(A25*3*0.0003+0.7015)*100</f>
        <v>71.320000000000007</v>
      </c>
    </row>
    <row r="26" spans="1:21" x14ac:dyDescent="0.2">
      <c r="A26">
        <v>14</v>
      </c>
      <c r="M26">
        <v>81</v>
      </c>
      <c r="Q26">
        <v>78</v>
      </c>
      <c r="R26">
        <v>85</v>
      </c>
      <c r="S26" s="265">
        <f t="shared" ref="S26" si="3">(A26*3*0.0002+0.774)*100</f>
        <v>78.239999999999995</v>
      </c>
      <c r="T26">
        <v>86</v>
      </c>
      <c r="U26" s="265">
        <f t="shared" ref="U26:U50" si="4">(A26*3*0.0003+0.7015)*100</f>
        <v>71.41</v>
      </c>
    </row>
    <row r="27" spans="1:21" x14ac:dyDescent="0.2">
      <c r="A27">
        <v>15</v>
      </c>
      <c r="M27">
        <v>82</v>
      </c>
      <c r="S27" s="265"/>
      <c r="T27">
        <v>86</v>
      </c>
      <c r="U27" s="265">
        <f t="shared" si="4"/>
        <v>71.5</v>
      </c>
    </row>
    <row r="28" spans="1:21" x14ac:dyDescent="0.2">
      <c r="A28">
        <v>16</v>
      </c>
      <c r="S28" s="265"/>
      <c r="T28">
        <v>86</v>
      </c>
      <c r="U28" s="265">
        <f t="shared" si="4"/>
        <v>71.59</v>
      </c>
    </row>
    <row r="29" spans="1:21" x14ac:dyDescent="0.2">
      <c r="A29">
        <v>17</v>
      </c>
      <c r="S29" s="265"/>
      <c r="T29">
        <v>86</v>
      </c>
      <c r="U29" s="265">
        <f t="shared" si="4"/>
        <v>71.679999999999993</v>
      </c>
    </row>
    <row r="30" spans="1:21" x14ac:dyDescent="0.2">
      <c r="A30">
        <v>18</v>
      </c>
      <c r="S30" s="265"/>
      <c r="T30">
        <v>86</v>
      </c>
      <c r="U30" s="265">
        <f t="shared" si="4"/>
        <v>71.77</v>
      </c>
    </row>
    <row r="31" spans="1:21" x14ac:dyDescent="0.2">
      <c r="A31">
        <v>19</v>
      </c>
      <c r="S31" s="265"/>
      <c r="T31">
        <v>86</v>
      </c>
      <c r="U31" s="265">
        <f t="shared" si="4"/>
        <v>71.86</v>
      </c>
    </row>
    <row r="32" spans="1:21" x14ac:dyDescent="0.2">
      <c r="A32">
        <v>20</v>
      </c>
      <c r="S32" s="265"/>
      <c r="T32">
        <v>86</v>
      </c>
      <c r="U32" s="265">
        <f t="shared" si="4"/>
        <v>71.95</v>
      </c>
    </row>
    <row r="33" spans="1:21" x14ac:dyDescent="0.2">
      <c r="A33">
        <v>21</v>
      </c>
      <c r="S33" s="265"/>
      <c r="T33">
        <v>86</v>
      </c>
      <c r="U33" s="265">
        <f t="shared" si="4"/>
        <v>72.040000000000006</v>
      </c>
    </row>
    <row r="34" spans="1:21" x14ac:dyDescent="0.2">
      <c r="A34">
        <v>22</v>
      </c>
      <c r="S34" s="265"/>
      <c r="T34">
        <v>86</v>
      </c>
      <c r="U34" s="265">
        <f t="shared" si="4"/>
        <v>72.13000000000001</v>
      </c>
    </row>
    <row r="35" spans="1:21" x14ac:dyDescent="0.2">
      <c r="A35">
        <v>23</v>
      </c>
      <c r="S35" s="265"/>
      <c r="T35">
        <v>86</v>
      </c>
      <c r="U35" s="265">
        <f t="shared" si="4"/>
        <v>72.220000000000013</v>
      </c>
    </row>
    <row r="36" spans="1:21" x14ac:dyDescent="0.2">
      <c r="A36">
        <v>24</v>
      </c>
      <c r="S36" s="265"/>
      <c r="T36">
        <v>86</v>
      </c>
      <c r="U36" s="265">
        <f t="shared" si="4"/>
        <v>72.31</v>
      </c>
    </row>
    <row r="37" spans="1:21" x14ac:dyDescent="0.2">
      <c r="A37">
        <v>25</v>
      </c>
      <c r="S37" s="265"/>
      <c r="T37">
        <v>86</v>
      </c>
      <c r="U37" s="265">
        <f t="shared" si="4"/>
        <v>72.399999999999991</v>
      </c>
    </row>
    <row r="38" spans="1:21" x14ac:dyDescent="0.2">
      <c r="A38">
        <v>26</v>
      </c>
      <c r="S38" s="265"/>
      <c r="T38">
        <v>86</v>
      </c>
      <c r="U38" s="265">
        <f t="shared" si="4"/>
        <v>72.489999999999995</v>
      </c>
    </row>
    <row r="39" spans="1:21" x14ac:dyDescent="0.2">
      <c r="A39">
        <v>27</v>
      </c>
      <c r="S39" s="265"/>
      <c r="T39">
        <v>86</v>
      </c>
      <c r="U39" s="265">
        <f t="shared" si="4"/>
        <v>72.58</v>
      </c>
    </row>
    <row r="40" spans="1:21" x14ac:dyDescent="0.2">
      <c r="A40">
        <v>28</v>
      </c>
      <c r="S40" s="265"/>
      <c r="T40">
        <v>86</v>
      </c>
      <c r="U40" s="265">
        <f t="shared" si="4"/>
        <v>72.67</v>
      </c>
    </row>
    <row r="41" spans="1:21" x14ac:dyDescent="0.2">
      <c r="A41">
        <v>29</v>
      </c>
      <c r="S41" s="265"/>
      <c r="T41">
        <v>86</v>
      </c>
      <c r="U41" s="265">
        <f t="shared" si="4"/>
        <v>72.760000000000005</v>
      </c>
    </row>
    <row r="42" spans="1:21" x14ac:dyDescent="0.2">
      <c r="A42">
        <v>30</v>
      </c>
      <c r="S42" s="265"/>
      <c r="T42">
        <v>86</v>
      </c>
      <c r="U42" s="265">
        <f t="shared" si="4"/>
        <v>72.850000000000009</v>
      </c>
    </row>
    <row r="43" spans="1:21" x14ac:dyDescent="0.2">
      <c r="A43">
        <v>31</v>
      </c>
      <c r="S43" s="265"/>
      <c r="T43">
        <v>86</v>
      </c>
      <c r="U43" s="265">
        <f t="shared" si="4"/>
        <v>72.94</v>
      </c>
    </row>
    <row r="44" spans="1:21" x14ac:dyDescent="0.2">
      <c r="A44">
        <v>32</v>
      </c>
      <c r="S44" s="265"/>
      <c r="T44">
        <v>86</v>
      </c>
      <c r="U44" s="265">
        <f t="shared" si="4"/>
        <v>73.03</v>
      </c>
    </row>
    <row r="45" spans="1:21" x14ac:dyDescent="0.2">
      <c r="A45">
        <v>33</v>
      </c>
      <c r="S45" s="265"/>
      <c r="T45">
        <v>86</v>
      </c>
      <c r="U45" s="265">
        <f t="shared" si="4"/>
        <v>73.11999999999999</v>
      </c>
    </row>
    <row r="46" spans="1:21" x14ac:dyDescent="0.2">
      <c r="A46">
        <v>34</v>
      </c>
      <c r="S46" s="265"/>
      <c r="T46">
        <v>86</v>
      </c>
      <c r="U46" s="265">
        <f t="shared" si="4"/>
        <v>73.209999999999994</v>
      </c>
    </row>
    <row r="47" spans="1:21" x14ac:dyDescent="0.2">
      <c r="A47">
        <v>35</v>
      </c>
      <c r="S47" s="265"/>
      <c r="T47">
        <v>86</v>
      </c>
      <c r="U47" s="265">
        <f t="shared" si="4"/>
        <v>73.3</v>
      </c>
    </row>
    <row r="48" spans="1:21" x14ac:dyDescent="0.2">
      <c r="A48">
        <v>36</v>
      </c>
      <c r="S48" s="265"/>
      <c r="T48">
        <v>86</v>
      </c>
      <c r="U48" s="265">
        <f t="shared" si="4"/>
        <v>73.39</v>
      </c>
    </row>
    <row r="49" spans="1:21" x14ac:dyDescent="0.2">
      <c r="A49">
        <v>37</v>
      </c>
      <c r="S49" s="265"/>
      <c r="T49">
        <v>86</v>
      </c>
      <c r="U49" s="265">
        <f t="shared" si="4"/>
        <v>73.48</v>
      </c>
    </row>
    <row r="50" spans="1:21" x14ac:dyDescent="0.2">
      <c r="A50">
        <v>38</v>
      </c>
      <c r="S50" s="265"/>
      <c r="T50">
        <v>86</v>
      </c>
      <c r="U50" s="265">
        <f t="shared" si="4"/>
        <v>73.570000000000007</v>
      </c>
    </row>
    <row r="51" spans="1:21" x14ac:dyDescent="0.2">
      <c r="A51">
        <v>39</v>
      </c>
      <c r="S51" s="265"/>
      <c r="T51">
        <v>86</v>
      </c>
      <c r="U51" s="265">
        <f t="shared" ref="U51:U100" si="5">(A51*3*0.0003+0.7015)*100</f>
        <v>73.66</v>
      </c>
    </row>
    <row r="52" spans="1:21" x14ac:dyDescent="0.2">
      <c r="A52">
        <v>40</v>
      </c>
      <c r="S52" s="265"/>
      <c r="T52">
        <v>86</v>
      </c>
      <c r="U52" s="265">
        <f t="shared" si="5"/>
        <v>73.75</v>
      </c>
    </row>
    <row r="53" spans="1:21" x14ac:dyDescent="0.2">
      <c r="A53">
        <v>41</v>
      </c>
      <c r="S53" s="265"/>
      <c r="T53">
        <v>86</v>
      </c>
      <c r="U53" s="265">
        <f t="shared" si="5"/>
        <v>73.84</v>
      </c>
    </row>
    <row r="54" spans="1:21" x14ac:dyDescent="0.2">
      <c r="A54">
        <v>42</v>
      </c>
      <c r="S54" s="265"/>
      <c r="T54">
        <v>86</v>
      </c>
      <c r="U54" s="265">
        <f t="shared" si="5"/>
        <v>73.929999999999993</v>
      </c>
    </row>
    <row r="55" spans="1:21" x14ac:dyDescent="0.2">
      <c r="A55">
        <v>43</v>
      </c>
      <c r="S55" s="265"/>
      <c r="T55">
        <v>86</v>
      </c>
      <c r="U55" s="265">
        <f t="shared" si="5"/>
        <v>74.02</v>
      </c>
    </row>
    <row r="56" spans="1:21" x14ac:dyDescent="0.2">
      <c r="A56">
        <v>44</v>
      </c>
      <c r="S56" s="265"/>
      <c r="T56">
        <v>86</v>
      </c>
      <c r="U56" s="265">
        <f t="shared" si="5"/>
        <v>74.11</v>
      </c>
    </row>
    <row r="57" spans="1:21" x14ac:dyDescent="0.2">
      <c r="A57">
        <v>45</v>
      </c>
      <c r="S57" s="265"/>
      <c r="T57">
        <v>86</v>
      </c>
      <c r="U57" s="265">
        <f t="shared" si="5"/>
        <v>74.2</v>
      </c>
    </row>
    <row r="58" spans="1:21" x14ac:dyDescent="0.2">
      <c r="A58">
        <v>46</v>
      </c>
      <c r="S58" s="265"/>
      <c r="T58">
        <v>86</v>
      </c>
      <c r="U58" s="265">
        <f t="shared" si="5"/>
        <v>74.290000000000006</v>
      </c>
    </row>
    <row r="59" spans="1:21" x14ac:dyDescent="0.2">
      <c r="A59">
        <v>47</v>
      </c>
      <c r="S59" s="265"/>
      <c r="T59">
        <v>86</v>
      </c>
      <c r="U59" s="265">
        <f t="shared" si="5"/>
        <v>74.38</v>
      </c>
    </row>
    <row r="60" spans="1:21" x14ac:dyDescent="0.2">
      <c r="A60">
        <v>48</v>
      </c>
      <c r="S60" s="265"/>
      <c r="T60">
        <v>86</v>
      </c>
      <c r="U60" s="265">
        <f t="shared" si="5"/>
        <v>74.47</v>
      </c>
    </row>
    <row r="61" spans="1:21" x14ac:dyDescent="0.2">
      <c r="A61">
        <v>49</v>
      </c>
      <c r="S61" s="265"/>
      <c r="T61">
        <v>86</v>
      </c>
      <c r="U61" s="265">
        <f t="shared" si="5"/>
        <v>74.56</v>
      </c>
    </row>
    <row r="62" spans="1:21" x14ac:dyDescent="0.2">
      <c r="A62">
        <v>50</v>
      </c>
      <c r="S62" s="265"/>
      <c r="T62">
        <v>86</v>
      </c>
      <c r="U62" s="265">
        <f t="shared" si="5"/>
        <v>74.650000000000006</v>
      </c>
    </row>
    <row r="63" spans="1:21" x14ac:dyDescent="0.2">
      <c r="A63">
        <v>51</v>
      </c>
      <c r="T63">
        <v>86</v>
      </c>
      <c r="U63" s="265">
        <f t="shared" si="5"/>
        <v>74.740000000000009</v>
      </c>
    </row>
    <row r="64" spans="1:21" x14ac:dyDescent="0.2">
      <c r="A64">
        <v>52</v>
      </c>
      <c r="T64">
        <v>86</v>
      </c>
      <c r="U64" s="265">
        <f t="shared" si="5"/>
        <v>74.83</v>
      </c>
    </row>
    <row r="65" spans="1:21" x14ac:dyDescent="0.2">
      <c r="A65">
        <v>53</v>
      </c>
      <c r="T65">
        <v>86</v>
      </c>
      <c r="U65" s="265">
        <f t="shared" si="5"/>
        <v>74.92</v>
      </c>
    </row>
    <row r="66" spans="1:21" x14ac:dyDescent="0.2">
      <c r="A66">
        <v>54</v>
      </c>
      <c r="T66">
        <v>86</v>
      </c>
      <c r="U66" s="265">
        <f t="shared" si="5"/>
        <v>75.010000000000005</v>
      </c>
    </row>
    <row r="67" spans="1:21" x14ac:dyDescent="0.2">
      <c r="A67">
        <v>55</v>
      </c>
      <c r="T67">
        <v>86</v>
      </c>
      <c r="U67" s="265">
        <f t="shared" si="5"/>
        <v>75.099999999999994</v>
      </c>
    </row>
    <row r="68" spans="1:21" x14ac:dyDescent="0.2">
      <c r="A68">
        <v>56</v>
      </c>
      <c r="T68">
        <v>86</v>
      </c>
      <c r="U68" s="265">
        <f t="shared" si="5"/>
        <v>75.19</v>
      </c>
    </row>
    <row r="69" spans="1:21" x14ac:dyDescent="0.2">
      <c r="A69">
        <v>57</v>
      </c>
      <c r="T69">
        <v>86</v>
      </c>
      <c r="U69" s="265">
        <f t="shared" si="5"/>
        <v>75.28</v>
      </c>
    </row>
    <row r="70" spans="1:21" x14ac:dyDescent="0.2">
      <c r="A70">
        <v>58</v>
      </c>
      <c r="T70">
        <v>86</v>
      </c>
      <c r="U70" s="265">
        <f t="shared" si="5"/>
        <v>75.37</v>
      </c>
    </row>
    <row r="71" spans="1:21" x14ac:dyDescent="0.2">
      <c r="A71">
        <v>59</v>
      </c>
      <c r="T71">
        <v>86</v>
      </c>
      <c r="U71" s="265">
        <f t="shared" si="5"/>
        <v>75.460000000000008</v>
      </c>
    </row>
    <row r="72" spans="1:21" x14ac:dyDescent="0.2">
      <c r="A72">
        <v>60</v>
      </c>
      <c r="T72">
        <v>86</v>
      </c>
      <c r="U72" s="265">
        <f t="shared" si="5"/>
        <v>75.550000000000011</v>
      </c>
    </row>
    <row r="73" spans="1:21" x14ac:dyDescent="0.2">
      <c r="A73">
        <v>61</v>
      </c>
      <c r="T73">
        <v>86</v>
      </c>
      <c r="U73" s="265">
        <f t="shared" si="5"/>
        <v>75.64</v>
      </c>
    </row>
    <row r="74" spans="1:21" x14ac:dyDescent="0.2">
      <c r="A74">
        <v>62</v>
      </c>
      <c r="T74">
        <v>86</v>
      </c>
      <c r="U74" s="265">
        <f t="shared" si="5"/>
        <v>75.73</v>
      </c>
    </row>
    <row r="75" spans="1:21" x14ac:dyDescent="0.2">
      <c r="A75">
        <v>63</v>
      </c>
      <c r="T75">
        <v>86</v>
      </c>
      <c r="U75" s="265">
        <f t="shared" si="5"/>
        <v>75.819999999999993</v>
      </c>
    </row>
    <row r="76" spans="1:21" x14ac:dyDescent="0.2">
      <c r="A76">
        <v>64</v>
      </c>
      <c r="T76">
        <v>86</v>
      </c>
      <c r="U76" s="265">
        <f t="shared" si="5"/>
        <v>75.91</v>
      </c>
    </row>
    <row r="77" spans="1:21" x14ac:dyDescent="0.2">
      <c r="A77">
        <v>65</v>
      </c>
      <c r="T77">
        <v>86</v>
      </c>
      <c r="U77" s="265">
        <f t="shared" si="5"/>
        <v>76</v>
      </c>
    </row>
    <row r="78" spans="1:21" x14ac:dyDescent="0.2">
      <c r="A78">
        <v>66</v>
      </c>
      <c r="T78">
        <v>86</v>
      </c>
      <c r="U78" s="265">
        <f t="shared" si="5"/>
        <v>76.09</v>
      </c>
    </row>
    <row r="79" spans="1:21" x14ac:dyDescent="0.2">
      <c r="A79">
        <v>67</v>
      </c>
      <c r="T79">
        <v>86</v>
      </c>
      <c r="U79" s="265">
        <f t="shared" si="5"/>
        <v>76.180000000000007</v>
      </c>
    </row>
    <row r="80" spans="1:21" x14ac:dyDescent="0.2">
      <c r="A80">
        <v>68</v>
      </c>
      <c r="T80">
        <v>86</v>
      </c>
      <c r="U80" s="265">
        <f t="shared" si="5"/>
        <v>76.27000000000001</v>
      </c>
    </row>
    <row r="81" spans="1:21" x14ac:dyDescent="0.2">
      <c r="A81">
        <v>69</v>
      </c>
      <c r="T81">
        <v>86</v>
      </c>
      <c r="U81" s="265">
        <f t="shared" si="5"/>
        <v>76.36</v>
      </c>
    </row>
    <row r="82" spans="1:21" x14ac:dyDescent="0.2">
      <c r="A82">
        <v>70</v>
      </c>
      <c r="T82">
        <v>86</v>
      </c>
      <c r="U82" s="265">
        <f t="shared" si="5"/>
        <v>76.449999999999989</v>
      </c>
    </row>
    <row r="83" spans="1:21" x14ac:dyDescent="0.2">
      <c r="A83">
        <v>71</v>
      </c>
      <c r="T83">
        <v>86</v>
      </c>
      <c r="U83" s="265">
        <f t="shared" si="5"/>
        <v>76.539999999999992</v>
      </c>
    </row>
    <row r="84" spans="1:21" x14ac:dyDescent="0.2">
      <c r="A84">
        <v>72</v>
      </c>
      <c r="T84">
        <v>86</v>
      </c>
      <c r="U84" s="265">
        <f t="shared" si="5"/>
        <v>76.63</v>
      </c>
    </row>
    <row r="85" spans="1:21" x14ac:dyDescent="0.2">
      <c r="A85">
        <v>73</v>
      </c>
      <c r="T85">
        <v>86</v>
      </c>
      <c r="U85" s="265">
        <f t="shared" si="5"/>
        <v>76.72</v>
      </c>
    </row>
    <row r="86" spans="1:21" x14ac:dyDescent="0.2">
      <c r="A86">
        <v>74</v>
      </c>
      <c r="T86">
        <v>86</v>
      </c>
      <c r="U86" s="265">
        <f t="shared" si="5"/>
        <v>76.81</v>
      </c>
    </row>
    <row r="87" spans="1:21" x14ac:dyDescent="0.2">
      <c r="A87">
        <v>75</v>
      </c>
      <c r="T87">
        <v>86</v>
      </c>
      <c r="U87" s="265">
        <f t="shared" si="5"/>
        <v>76.900000000000006</v>
      </c>
    </row>
    <row r="88" spans="1:21" x14ac:dyDescent="0.2">
      <c r="A88">
        <v>76</v>
      </c>
      <c r="T88">
        <v>86</v>
      </c>
      <c r="U88" s="265">
        <f t="shared" si="5"/>
        <v>76.990000000000009</v>
      </c>
    </row>
    <row r="89" spans="1:21" x14ac:dyDescent="0.2">
      <c r="A89">
        <v>77</v>
      </c>
      <c r="T89">
        <v>86</v>
      </c>
      <c r="U89" s="265">
        <f t="shared" si="5"/>
        <v>77.08</v>
      </c>
    </row>
    <row r="90" spans="1:21" x14ac:dyDescent="0.2">
      <c r="A90">
        <v>78</v>
      </c>
      <c r="T90">
        <v>86</v>
      </c>
      <c r="U90" s="265">
        <f t="shared" si="5"/>
        <v>77.17</v>
      </c>
    </row>
    <row r="91" spans="1:21" x14ac:dyDescent="0.2">
      <c r="A91">
        <v>79</v>
      </c>
      <c r="T91">
        <v>86</v>
      </c>
      <c r="U91" s="265">
        <f t="shared" si="5"/>
        <v>77.259999999999991</v>
      </c>
    </row>
    <row r="92" spans="1:21" x14ac:dyDescent="0.2">
      <c r="A92">
        <v>80</v>
      </c>
      <c r="T92">
        <v>86</v>
      </c>
      <c r="U92" s="265">
        <f t="shared" si="5"/>
        <v>77.349999999999994</v>
      </c>
    </row>
    <row r="93" spans="1:21" x14ac:dyDescent="0.2">
      <c r="A93">
        <v>81</v>
      </c>
      <c r="T93">
        <v>86</v>
      </c>
      <c r="U93" s="265">
        <f t="shared" si="5"/>
        <v>77.44</v>
      </c>
    </row>
    <row r="94" spans="1:21" x14ac:dyDescent="0.2">
      <c r="A94">
        <v>82</v>
      </c>
      <c r="T94">
        <v>86</v>
      </c>
      <c r="U94" s="265">
        <f t="shared" si="5"/>
        <v>77.53</v>
      </c>
    </row>
    <row r="95" spans="1:21" x14ac:dyDescent="0.2">
      <c r="A95">
        <v>83</v>
      </c>
      <c r="T95">
        <v>86</v>
      </c>
      <c r="U95" s="265">
        <f t="shared" si="5"/>
        <v>77.62</v>
      </c>
    </row>
    <row r="96" spans="1:21" x14ac:dyDescent="0.2">
      <c r="A96">
        <v>84</v>
      </c>
      <c r="T96">
        <v>86</v>
      </c>
      <c r="U96" s="265">
        <f t="shared" si="5"/>
        <v>77.710000000000008</v>
      </c>
    </row>
    <row r="97" spans="1:21" x14ac:dyDescent="0.2">
      <c r="A97">
        <v>85</v>
      </c>
      <c r="T97">
        <v>86</v>
      </c>
      <c r="U97" s="265">
        <f t="shared" si="5"/>
        <v>77.8</v>
      </c>
    </row>
    <row r="98" spans="1:21" x14ac:dyDescent="0.2">
      <c r="A98">
        <v>86</v>
      </c>
      <c r="T98">
        <v>86</v>
      </c>
      <c r="U98" s="265">
        <f t="shared" si="5"/>
        <v>77.89</v>
      </c>
    </row>
    <row r="99" spans="1:21" x14ac:dyDescent="0.2">
      <c r="A99">
        <v>87</v>
      </c>
      <c r="T99">
        <v>86</v>
      </c>
      <c r="U99" s="265">
        <f t="shared" si="5"/>
        <v>77.98</v>
      </c>
    </row>
    <row r="100" spans="1:21" x14ac:dyDescent="0.2">
      <c r="A100">
        <v>88</v>
      </c>
      <c r="T100">
        <v>86</v>
      </c>
      <c r="U100" s="265">
        <f t="shared" si="5"/>
        <v>78.069999999999993</v>
      </c>
    </row>
    <row r="101" spans="1:21" x14ac:dyDescent="0.2">
      <c r="A101">
        <v>89</v>
      </c>
      <c r="U101" s="265"/>
    </row>
  </sheetData>
  <phoneticPr fontId="34" type="noConversion"/>
  <conditionalFormatting sqref="A2:J9 P2:V9 L2:N9 X2:XFD9">
    <cfRule type="cellIs" dxfId="5" priority="4" operator="equal">
      <formula>"true"</formula>
    </cfRule>
  </conditionalFormatting>
  <conditionalFormatting sqref="O2:O9">
    <cfRule type="cellIs" dxfId="4" priority="3" operator="equal">
      <formula>"true"</formula>
    </cfRule>
  </conditionalFormatting>
  <conditionalFormatting sqref="K2:K9">
    <cfRule type="cellIs" dxfId="3" priority="2" operator="equal">
      <formula>"true"</formula>
    </cfRule>
  </conditionalFormatting>
  <conditionalFormatting sqref="W2:W9">
    <cfRule type="cellIs" dxfId="2" priority="1" operator="equal">
      <formula>"true"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49469-E64B-4D0B-9320-3BEAB357F9D9}">
  <sheetPr codeName="Blad10"/>
  <dimension ref="A1:Z101"/>
  <sheetViews>
    <sheetView topLeftCell="J1" workbookViewId="0">
      <selection activeCell="R34" sqref="R34"/>
    </sheetView>
  </sheetViews>
  <sheetFormatPr defaultRowHeight="12.75" x14ac:dyDescent="0.2"/>
  <cols>
    <col min="1" max="1" width="15.7109375" bestFit="1" customWidth="1"/>
    <col min="2" max="3" width="13.7109375" bestFit="1" customWidth="1"/>
    <col min="4" max="6" width="13.42578125" customWidth="1"/>
    <col min="7" max="8" width="13.7109375" bestFit="1" customWidth="1"/>
    <col min="9" max="11" width="13.7109375" customWidth="1"/>
    <col min="12" max="14" width="15.85546875" bestFit="1" customWidth="1"/>
    <col min="15" max="15" width="15.85546875" customWidth="1"/>
    <col min="16" max="17" width="15.7109375" customWidth="1"/>
    <col min="18" max="18" width="17.7109375" customWidth="1"/>
    <col min="19" max="20" width="15.7109375" customWidth="1"/>
    <col min="21" max="25" width="13.28515625" bestFit="1" customWidth="1"/>
    <col min="26" max="26" width="24" bestFit="1" customWidth="1"/>
  </cols>
  <sheetData>
    <row r="1" spans="1:26" x14ac:dyDescent="0.2">
      <c r="A1" t="s">
        <v>141</v>
      </c>
      <c r="B1" s="117" t="s">
        <v>99</v>
      </c>
      <c r="C1" s="117" t="s">
        <v>99</v>
      </c>
      <c r="E1" t="s">
        <v>95</v>
      </c>
      <c r="F1" t="s">
        <v>95</v>
      </c>
      <c r="G1" t="s">
        <v>95</v>
      </c>
      <c r="H1" t="s">
        <v>95</v>
      </c>
      <c r="I1" t="s">
        <v>95</v>
      </c>
      <c r="J1" s="117" t="s">
        <v>163</v>
      </c>
      <c r="K1" t="s">
        <v>170</v>
      </c>
      <c r="L1" t="s">
        <v>96</v>
      </c>
      <c r="M1" t="s">
        <v>136</v>
      </c>
      <c r="N1" t="s">
        <v>136</v>
      </c>
      <c r="O1" t="s">
        <v>168</v>
      </c>
      <c r="P1" t="s">
        <v>126</v>
      </c>
      <c r="Q1" t="s">
        <v>126</v>
      </c>
      <c r="R1" s="117" t="s">
        <v>174</v>
      </c>
      <c r="S1" s="117" t="s">
        <v>127</v>
      </c>
      <c r="T1" s="117" t="s">
        <v>127</v>
      </c>
      <c r="U1" t="s">
        <v>133</v>
      </c>
      <c r="V1" t="s">
        <v>134</v>
      </c>
      <c r="W1" t="s">
        <v>137</v>
      </c>
      <c r="X1" t="s">
        <v>161</v>
      </c>
      <c r="Y1" t="s">
        <v>162</v>
      </c>
      <c r="Z1" t="s">
        <v>229</v>
      </c>
    </row>
    <row r="2" spans="1:26" x14ac:dyDescent="0.2">
      <c r="A2" s="117" t="s">
        <v>175</v>
      </c>
      <c r="J2" s="117" t="s">
        <v>171</v>
      </c>
      <c r="K2" s="117" t="s">
        <v>171</v>
      </c>
      <c r="L2" s="117" t="s">
        <v>171</v>
      </c>
      <c r="M2" s="117" t="s">
        <v>172</v>
      </c>
      <c r="N2" t="s">
        <v>171</v>
      </c>
      <c r="O2" t="s">
        <v>171</v>
      </c>
      <c r="P2" t="s">
        <v>172</v>
      </c>
      <c r="Q2" t="s">
        <v>171</v>
      </c>
      <c r="R2" s="117" t="s">
        <v>172</v>
      </c>
      <c r="S2" s="117" t="s">
        <v>171</v>
      </c>
      <c r="T2" s="117" t="s">
        <v>172</v>
      </c>
      <c r="U2" s="117" t="s">
        <v>171</v>
      </c>
      <c r="V2" s="117" t="s">
        <v>171</v>
      </c>
      <c r="W2" s="117" t="s">
        <v>171</v>
      </c>
      <c r="X2" s="117" t="s">
        <v>171</v>
      </c>
      <c r="Y2" s="117" t="s">
        <v>171</v>
      </c>
      <c r="Z2" s="117" t="s">
        <v>171</v>
      </c>
    </row>
    <row r="3" spans="1:26" x14ac:dyDescent="0.2">
      <c r="A3" s="277" t="s">
        <v>173</v>
      </c>
      <c r="J3" s="117"/>
      <c r="K3" s="117"/>
      <c r="L3" s="117"/>
      <c r="M3" s="117"/>
      <c r="R3" s="117"/>
      <c r="S3" s="117"/>
      <c r="T3" s="117"/>
    </row>
    <row r="4" spans="1:26" x14ac:dyDescent="0.2">
      <c r="A4" s="277" t="s">
        <v>173</v>
      </c>
      <c r="J4" s="117"/>
      <c r="K4" s="117"/>
      <c r="L4" s="117"/>
      <c r="M4" s="117"/>
      <c r="R4" s="117"/>
      <c r="S4" s="117"/>
      <c r="T4" s="117"/>
    </row>
    <row r="5" spans="1:26" x14ac:dyDescent="0.2">
      <c r="A5" s="277" t="s">
        <v>173</v>
      </c>
      <c r="J5" s="117"/>
      <c r="K5" s="117"/>
      <c r="L5" s="117"/>
      <c r="M5" s="117"/>
      <c r="R5" s="117"/>
      <c r="S5" s="117"/>
      <c r="T5" s="117"/>
    </row>
    <row r="6" spans="1:26" x14ac:dyDescent="0.2">
      <c r="A6" s="277" t="s">
        <v>173</v>
      </c>
      <c r="J6" s="117"/>
      <c r="K6" s="117"/>
      <c r="L6" s="117"/>
      <c r="M6" s="117"/>
      <c r="R6" s="117"/>
      <c r="S6" s="117"/>
      <c r="T6" s="117"/>
      <c r="Z6" s="117"/>
    </row>
    <row r="7" spans="1:26" x14ac:dyDescent="0.2">
      <c r="A7" s="277" t="s">
        <v>173</v>
      </c>
      <c r="J7" s="117"/>
      <c r="K7" s="117"/>
      <c r="L7" s="117"/>
      <c r="M7" s="117"/>
      <c r="R7" s="117"/>
      <c r="S7" s="117"/>
      <c r="T7" s="117"/>
      <c r="Z7" s="117"/>
    </row>
    <row r="8" spans="1:26" x14ac:dyDescent="0.2">
      <c r="A8" s="277" t="s">
        <v>173</v>
      </c>
      <c r="J8" s="117"/>
      <c r="K8" s="117"/>
      <c r="L8" s="117"/>
      <c r="M8" s="117"/>
      <c r="R8" s="117"/>
      <c r="S8" s="117"/>
      <c r="T8" s="117"/>
    </row>
    <row r="9" spans="1:26" x14ac:dyDescent="0.2">
      <c r="A9" s="277" t="s">
        <v>173</v>
      </c>
      <c r="J9" s="117"/>
      <c r="K9" s="117"/>
      <c r="L9" s="117"/>
      <c r="M9" s="117"/>
      <c r="R9" s="117"/>
      <c r="S9" s="117"/>
      <c r="T9" s="117"/>
    </row>
    <row r="10" spans="1:26" s="275" customFormat="1" ht="39.75" customHeight="1" x14ac:dyDescent="0.2">
      <c r="A10" s="276" t="s">
        <v>177</v>
      </c>
      <c r="B10" s="339" t="s">
        <v>169</v>
      </c>
      <c r="C10" s="339"/>
      <c r="D10" s="339"/>
      <c r="E10" s="339"/>
      <c r="F10" s="339"/>
      <c r="G10" s="339"/>
      <c r="H10" s="339"/>
      <c r="I10" s="340" t="s">
        <v>164</v>
      </c>
      <c r="J10" s="341" t="s">
        <v>169</v>
      </c>
      <c r="K10" s="342" t="s">
        <v>169</v>
      </c>
      <c r="L10" s="343" t="s">
        <v>167</v>
      </c>
      <c r="M10" s="344" t="s">
        <v>176</v>
      </c>
      <c r="N10" s="344" t="s">
        <v>176</v>
      </c>
      <c r="O10" s="344" t="s">
        <v>176</v>
      </c>
      <c r="P10" s="346" t="s">
        <v>165</v>
      </c>
      <c r="Q10" s="346" t="s">
        <v>165</v>
      </c>
      <c r="R10" s="345" t="s">
        <v>165</v>
      </c>
      <c r="S10" s="346" t="s">
        <v>165</v>
      </c>
      <c r="T10" s="346" t="s">
        <v>165</v>
      </c>
      <c r="U10" s="347" t="s">
        <v>176</v>
      </c>
      <c r="V10" s="348" t="s">
        <v>176</v>
      </c>
      <c r="W10" s="350" t="s">
        <v>176</v>
      </c>
      <c r="X10" s="351" t="s">
        <v>176</v>
      </c>
      <c r="Y10" s="349" t="s">
        <v>176</v>
      </c>
      <c r="Z10" s="371" t="s">
        <v>176</v>
      </c>
    </row>
    <row r="11" spans="1:26" x14ac:dyDescent="0.2">
      <c r="A11" t="s">
        <v>135</v>
      </c>
      <c r="B11" t="s">
        <v>202</v>
      </c>
      <c r="C11" t="s">
        <v>202</v>
      </c>
      <c r="D11" t="s">
        <v>202</v>
      </c>
      <c r="E11" t="s">
        <v>202</v>
      </c>
      <c r="F11" t="s">
        <v>202</v>
      </c>
      <c r="G11" t="s">
        <v>202</v>
      </c>
      <c r="H11" t="s">
        <v>202</v>
      </c>
      <c r="I11" t="s">
        <v>203</v>
      </c>
      <c r="J11" s="117" t="s">
        <v>204</v>
      </c>
      <c r="K11" s="117" t="s">
        <v>205</v>
      </c>
      <c r="L11" s="117" t="s">
        <v>206</v>
      </c>
      <c r="M11" s="117" t="s">
        <v>207</v>
      </c>
      <c r="N11" s="117" t="s">
        <v>207</v>
      </c>
      <c r="O11" s="117" t="s">
        <v>207</v>
      </c>
      <c r="P11" s="117" t="s">
        <v>209</v>
      </c>
      <c r="Q11" s="117" t="s">
        <v>209</v>
      </c>
      <c r="R11" s="117" t="s">
        <v>208</v>
      </c>
      <c r="S11" s="117" t="s">
        <v>209</v>
      </c>
      <c r="T11" s="117" t="s">
        <v>209</v>
      </c>
      <c r="U11" s="117" t="s">
        <v>210</v>
      </c>
      <c r="V11" s="117" t="s">
        <v>211</v>
      </c>
      <c r="W11" s="117" t="s">
        <v>213</v>
      </c>
      <c r="X11" s="117" t="s">
        <v>214</v>
      </c>
      <c r="Y11" s="117" t="s">
        <v>212</v>
      </c>
      <c r="Z11" s="117" t="s">
        <v>234</v>
      </c>
    </row>
    <row r="12" spans="1:26" ht="25.5" x14ac:dyDescent="0.2">
      <c r="A12" s="276" t="s">
        <v>166</v>
      </c>
      <c r="B12" s="269">
        <v>4400</v>
      </c>
      <c r="C12" s="269">
        <v>4800</v>
      </c>
      <c r="D12" s="269">
        <v>5400</v>
      </c>
      <c r="E12" s="269">
        <v>6300</v>
      </c>
      <c r="F12" s="269">
        <v>6800</v>
      </c>
      <c r="G12" s="269">
        <v>7200</v>
      </c>
      <c r="H12" s="269">
        <v>8100</v>
      </c>
      <c r="I12" s="269">
        <v>10000</v>
      </c>
      <c r="J12" s="269"/>
      <c r="K12" s="269"/>
    </row>
    <row r="13" spans="1:26" x14ac:dyDescent="0.2">
      <c r="A13">
        <v>1</v>
      </c>
      <c r="B13">
        <v>86</v>
      </c>
      <c r="C13">
        <v>86</v>
      </c>
      <c r="D13">
        <v>86</v>
      </c>
      <c r="E13">
        <v>85</v>
      </c>
      <c r="F13">
        <v>85</v>
      </c>
      <c r="G13">
        <v>85</v>
      </c>
      <c r="H13">
        <v>85</v>
      </c>
      <c r="I13" s="279">
        <v>77</v>
      </c>
      <c r="J13">
        <v>83</v>
      </c>
      <c r="K13">
        <v>83</v>
      </c>
      <c r="L13">
        <v>72</v>
      </c>
      <c r="M13">
        <v>74</v>
      </c>
      <c r="N13">
        <v>85</v>
      </c>
      <c r="O13">
        <v>83</v>
      </c>
      <c r="P13">
        <v>79</v>
      </c>
      <c r="Q13">
        <v>85</v>
      </c>
      <c r="R13" s="265">
        <f t="shared" ref="R13:R24" si="0">(A13*3*0.0002+0.774)*100</f>
        <v>77.460000000000008</v>
      </c>
      <c r="S13">
        <v>86</v>
      </c>
      <c r="T13" s="265">
        <f t="shared" ref="T13:T24" si="1">(A13*3*0.0003+0.7015)*100</f>
        <v>70.240000000000009</v>
      </c>
      <c r="U13">
        <v>85</v>
      </c>
      <c r="V13">
        <v>90</v>
      </c>
      <c r="W13">
        <v>90</v>
      </c>
      <c r="X13">
        <v>99</v>
      </c>
      <c r="Y13">
        <v>90</v>
      </c>
      <c r="Z13">
        <v>91</v>
      </c>
    </row>
    <row r="14" spans="1:26" x14ac:dyDescent="0.2">
      <c r="A14">
        <v>2</v>
      </c>
      <c r="B14">
        <v>86</v>
      </c>
      <c r="C14">
        <v>86</v>
      </c>
      <c r="D14">
        <v>86</v>
      </c>
      <c r="E14">
        <v>85</v>
      </c>
      <c r="F14">
        <v>85</v>
      </c>
      <c r="G14">
        <v>85</v>
      </c>
      <c r="H14">
        <v>85</v>
      </c>
      <c r="I14" s="279">
        <v>77</v>
      </c>
      <c r="J14">
        <v>83</v>
      </c>
      <c r="K14">
        <v>83</v>
      </c>
      <c r="L14">
        <v>72</v>
      </c>
      <c r="P14">
        <v>79</v>
      </c>
      <c r="Q14">
        <v>85</v>
      </c>
      <c r="R14" s="265">
        <f t="shared" si="0"/>
        <v>77.52</v>
      </c>
      <c r="S14">
        <v>86</v>
      </c>
      <c r="T14" s="265">
        <f t="shared" si="1"/>
        <v>70.33</v>
      </c>
    </row>
    <row r="15" spans="1:26" x14ac:dyDescent="0.2">
      <c r="A15">
        <v>3</v>
      </c>
      <c r="B15">
        <v>86</v>
      </c>
      <c r="C15">
        <v>86</v>
      </c>
      <c r="D15">
        <v>86</v>
      </c>
      <c r="E15">
        <v>85</v>
      </c>
      <c r="F15">
        <v>85</v>
      </c>
      <c r="G15">
        <v>85</v>
      </c>
      <c r="H15">
        <v>85</v>
      </c>
      <c r="I15" s="279">
        <v>78</v>
      </c>
      <c r="J15">
        <v>83</v>
      </c>
      <c r="K15">
        <v>83</v>
      </c>
      <c r="L15">
        <v>72</v>
      </c>
      <c r="P15">
        <f>P14-0.4</f>
        <v>78.599999999999994</v>
      </c>
      <c r="Q15">
        <v>85</v>
      </c>
      <c r="R15" s="265">
        <f t="shared" si="0"/>
        <v>77.58</v>
      </c>
      <c r="S15">
        <v>86</v>
      </c>
      <c r="T15" s="265">
        <f t="shared" si="1"/>
        <v>70.42</v>
      </c>
    </row>
    <row r="16" spans="1:26" x14ac:dyDescent="0.2">
      <c r="A16">
        <v>4</v>
      </c>
      <c r="B16">
        <v>86</v>
      </c>
      <c r="C16">
        <v>86</v>
      </c>
      <c r="D16">
        <v>86</v>
      </c>
      <c r="E16">
        <v>85</v>
      </c>
      <c r="F16">
        <v>85</v>
      </c>
      <c r="G16">
        <v>85</v>
      </c>
      <c r="H16">
        <v>85</v>
      </c>
      <c r="I16" s="279">
        <v>79</v>
      </c>
      <c r="J16">
        <v>83</v>
      </c>
      <c r="K16">
        <v>83</v>
      </c>
      <c r="L16">
        <v>73</v>
      </c>
      <c r="P16">
        <f>P15-0.4</f>
        <v>78.199999999999989</v>
      </c>
      <c r="Q16">
        <v>85</v>
      </c>
      <c r="R16" s="265">
        <f t="shared" si="0"/>
        <v>77.64</v>
      </c>
      <c r="S16">
        <v>86</v>
      </c>
      <c r="T16" s="265">
        <f t="shared" si="1"/>
        <v>70.510000000000005</v>
      </c>
    </row>
    <row r="17" spans="1:20" x14ac:dyDescent="0.2">
      <c r="A17">
        <v>5</v>
      </c>
      <c r="B17">
        <v>86</v>
      </c>
      <c r="C17">
        <v>86</v>
      </c>
      <c r="D17">
        <v>86</v>
      </c>
      <c r="E17">
        <v>85</v>
      </c>
      <c r="F17">
        <v>85</v>
      </c>
      <c r="G17">
        <v>85</v>
      </c>
      <c r="H17">
        <v>85</v>
      </c>
      <c r="I17" s="279">
        <v>80</v>
      </c>
      <c r="J17">
        <v>84</v>
      </c>
      <c r="K17">
        <v>83</v>
      </c>
      <c r="L17">
        <v>73</v>
      </c>
      <c r="P17">
        <f>P16-0.4</f>
        <v>77.799999999999983</v>
      </c>
      <c r="Q17">
        <v>85</v>
      </c>
      <c r="R17" s="265">
        <f t="shared" si="0"/>
        <v>77.7</v>
      </c>
      <c r="S17">
        <v>86</v>
      </c>
      <c r="T17" s="265">
        <f t="shared" si="1"/>
        <v>70.599999999999994</v>
      </c>
    </row>
    <row r="18" spans="1:20" x14ac:dyDescent="0.2">
      <c r="A18">
        <v>6</v>
      </c>
      <c r="B18">
        <v>86</v>
      </c>
      <c r="C18">
        <v>86</v>
      </c>
      <c r="D18">
        <v>86</v>
      </c>
      <c r="E18">
        <v>85</v>
      </c>
      <c r="F18">
        <v>85</v>
      </c>
      <c r="G18">
        <v>85</v>
      </c>
      <c r="H18">
        <v>85</v>
      </c>
      <c r="I18" s="279">
        <v>81</v>
      </c>
      <c r="J18">
        <v>84</v>
      </c>
      <c r="K18">
        <v>83</v>
      </c>
      <c r="L18">
        <v>74</v>
      </c>
      <c r="P18">
        <f>P17</f>
        <v>77.799999999999983</v>
      </c>
      <c r="Q18">
        <v>85</v>
      </c>
      <c r="R18" s="265">
        <f t="shared" si="0"/>
        <v>77.760000000000005</v>
      </c>
      <c r="S18">
        <v>86</v>
      </c>
      <c r="T18" s="265">
        <f t="shared" si="1"/>
        <v>70.69</v>
      </c>
    </row>
    <row r="19" spans="1:20" x14ac:dyDescent="0.2">
      <c r="A19">
        <v>7</v>
      </c>
      <c r="B19">
        <v>87</v>
      </c>
      <c r="C19">
        <v>87</v>
      </c>
      <c r="D19">
        <v>87</v>
      </c>
      <c r="E19">
        <v>85</v>
      </c>
      <c r="F19">
        <v>85</v>
      </c>
      <c r="G19">
        <v>85</v>
      </c>
      <c r="H19">
        <v>85</v>
      </c>
      <c r="I19" s="279">
        <v>82</v>
      </c>
      <c r="J19">
        <v>84</v>
      </c>
      <c r="K19">
        <v>83</v>
      </c>
      <c r="L19">
        <v>74</v>
      </c>
      <c r="P19">
        <f t="shared" ref="P19:P21" si="2">P18</f>
        <v>77.799999999999983</v>
      </c>
      <c r="Q19">
        <v>85</v>
      </c>
      <c r="R19" s="265">
        <f t="shared" si="0"/>
        <v>77.819999999999993</v>
      </c>
      <c r="S19">
        <v>86</v>
      </c>
      <c r="T19" s="265">
        <f t="shared" si="1"/>
        <v>70.78</v>
      </c>
    </row>
    <row r="20" spans="1:20" x14ac:dyDescent="0.2">
      <c r="A20">
        <v>8</v>
      </c>
      <c r="B20">
        <v>87</v>
      </c>
      <c r="C20">
        <v>87</v>
      </c>
      <c r="D20">
        <v>87</v>
      </c>
      <c r="E20">
        <v>85</v>
      </c>
      <c r="F20">
        <v>85</v>
      </c>
      <c r="G20">
        <v>85</v>
      </c>
      <c r="H20">
        <v>85</v>
      </c>
      <c r="I20" s="279">
        <v>83</v>
      </c>
      <c r="J20">
        <v>84</v>
      </c>
      <c r="K20">
        <v>83</v>
      </c>
      <c r="L20">
        <v>75</v>
      </c>
      <c r="P20">
        <f t="shared" si="2"/>
        <v>77.799999999999983</v>
      </c>
      <c r="Q20">
        <v>85</v>
      </c>
      <c r="R20" s="265">
        <f t="shared" si="0"/>
        <v>77.88000000000001</v>
      </c>
      <c r="S20">
        <v>86</v>
      </c>
      <c r="T20" s="265">
        <f t="shared" si="1"/>
        <v>70.87</v>
      </c>
    </row>
    <row r="21" spans="1:20" x14ac:dyDescent="0.2">
      <c r="A21">
        <v>9</v>
      </c>
      <c r="B21">
        <v>87</v>
      </c>
      <c r="C21">
        <v>87</v>
      </c>
      <c r="D21">
        <v>87</v>
      </c>
      <c r="E21">
        <v>85</v>
      </c>
      <c r="F21">
        <v>85</v>
      </c>
      <c r="G21">
        <v>85</v>
      </c>
      <c r="H21">
        <v>85</v>
      </c>
      <c r="I21" s="279">
        <v>84</v>
      </c>
      <c r="J21">
        <v>84</v>
      </c>
      <c r="K21">
        <v>83</v>
      </c>
      <c r="L21">
        <v>76</v>
      </c>
      <c r="P21">
        <f t="shared" si="2"/>
        <v>77.799999999999983</v>
      </c>
      <c r="Q21">
        <v>85</v>
      </c>
      <c r="R21" s="265">
        <f t="shared" si="0"/>
        <v>77.94</v>
      </c>
      <c r="S21">
        <v>86</v>
      </c>
      <c r="T21" s="265">
        <f t="shared" si="1"/>
        <v>70.960000000000008</v>
      </c>
    </row>
    <row r="22" spans="1:20" x14ac:dyDescent="0.2">
      <c r="A22">
        <v>10</v>
      </c>
      <c r="B22">
        <v>87</v>
      </c>
      <c r="C22">
        <v>87</v>
      </c>
      <c r="D22">
        <v>87</v>
      </c>
      <c r="E22">
        <v>85</v>
      </c>
      <c r="F22">
        <v>85</v>
      </c>
      <c r="G22">
        <v>85</v>
      </c>
      <c r="H22">
        <v>85</v>
      </c>
      <c r="I22" s="279">
        <v>85</v>
      </c>
      <c r="J22">
        <v>84</v>
      </c>
      <c r="K22">
        <v>83</v>
      </c>
      <c r="L22">
        <v>77</v>
      </c>
      <c r="P22">
        <v>78</v>
      </c>
      <c r="Q22">
        <v>85</v>
      </c>
      <c r="R22" s="265">
        <f t="shared" si="0"/>
        <v>78</v>
      </c>
      <c r="S22">
        <v>86</v>
      </c>
      <c r="T22" s="265">
        <f t="shared" si="1"/>
        <v>71.05</v>
      </c>
    </row>
    <row r="23" spans="1:20" x14ac:dyDescent="0.2">
      <c r="A23">
        <v>11</v>
      </c>
      <c r="L23">
        <v>78</v>
      </c>
      <c r="P23">
        <v>78</v>
      </c>
      <c r="Q23">
        <v>85</v>
      </c>
      <c r="R23" s="265">
        <f t="shared" si="0"/>
        <v>78.06</v>
      </c>
      <c r="S23">
        <v>86</v>
      </c>
      <c r="T23" s="265">
        <f t="shared" si="1"/>
        <v>71.14</v>
      </c>
    </row>
    <row r="24" spans="1:20" x14ac:dyDescent="0.2">
      <c r="A24">
        <v>12</v>
      </c>
      <c r="L24">
        <v>79</v>
      </c>
      <c r="P24">
        <v>78</v>
      </c>
      <c r="Q24">
        <v>85</v>
      </c>
      <c r="R24" s="265">
        <f t="shared" si="0"/>
        <v>78.12</v>
      </c>
      <c r="S24">
        <v>86</v>
      </c>
      <c r="T24" s="265">
        <f t="shared" si="1"/>
        <v>71.23</v>
      </c>
    </row>
    <row r="25" spans="1:20" x14ac:dyDescent="0.2">
      <c r="A25">
        <v>13</v>
      </c>
      <c r="L25">
        <v>80</v>
      </c>
      <c r="P25">
        <v>78</v>
      </c>
      <c r="Q25">
        <v>85</v>
      </c>
      <c r="R25" s="265">
        <f>(A25*3*0.0002+0.774)*100</f>
        <v>78.180000000000007</v>
      </c>
      <c r="S25">
        <v>86</v>
      </c>
      <c r="T25" s="265">
        <f>(A25*3*0.0003+0.7015)*100</f>
        <v>71.320000000000007</v>
      </c>
    </row>
    <row r="26" spans="1:20" x14ac:dyDescent="0.2">
      <c r="A26">
        <v>14</v>
      </c>
      <c r="L26">
        <v>81</v>
      </c>
      <c r="P26">
        <v>78</v>
      </c>
      <c r="Q26">
        <v>85</v>
      </c>
      <c r="R26" s="265">
        <f t="shared" ref="R26" si="3">(A26*3*0.0002+0.774)*100</f>
        <v>78.239999999999995</v>
      </c>
      <c r="S26">
        <v>86</v>
      </c>
      <c r="T26" s="265">
        <f t="shared" ref="T26:T89" si="4">(A26*3*0.0003+0.7015)*100</f>
        <v>71.41</v>
      </c>
    </row>
    <row r="27" spans="1:20" x14ac:dyDescent="0.2">
      <c r="A27">
        <v>15</v>
      </c>
      <c r="L27">
        <v>82</v>
      </c>
      <c r="R27" s="265"/>
      <c r="S27">
        <v>86</v>
      </c>
      <c r="T27" s="265">
        <f t="shared" si="4"/>
        <v>71.5</v>
      </c>
    </row>
    <row r="28" spans="1:20" x14ac:dyDescent="0.2">
      <c r="A28">
        <v>16</v>
      </c>
      <c r="R28" s="265"/>
      <c r="S28">
        <v>86</v>
      </c>
      <c r="T28" s="265">
        <f t="shared" si="4"/>
        <v>71.59</v>
      </c>
    </row>
    <row r="29" spans="1:20" x14ac:dyDescent="0.2">
      <c r="A29">
        <v>17</v>
      </c>
      <c r="R29" s="265"/>
      <c r="S29">
        <v>86</v>
      </c>
      <c r="T29" s="265">
        <f t="shared" si="4"/>
        <v>71.679999999999993</v>
      </c>
    </row>
    <row r="30" spans="1:20" x14ac:dyDescent="0.2">
      <c r="A30">
        <v>18</v>
      </c>
      <c r="R30" s="265"/>
      <c r="S30">
        <v>86</v>
      </c>
      <c r="T30" s="265">
        <f t="shared" si="4"/>
        <v>71.77</v>
      </c>
    </row>
    <row r="31" spans="1:20" x14ac:dyDescent="0.2">
      <c r="A31">
        <v>19</v>
      </c>
      <c r="R31" s="265"/>
      <c r="S31">
        <v>86</v>
      </c>
      <c r="T31" s="265">
        <f t="shared" si="4"/>
        <v>71.86</v>
      </c>
    </row>
    <row r="32" spans="1:20" x14ac:dyDescent="0.2">
      <c r="A32">
        <v>20</v>
      </c>
      <c r="R32" s="265"/>
      <c r="S32">
        <v>86</v>
      </c>
      <c r="T32" s="265">
        <f t="shared" si="4"/>
        <v>71.95</v>
      </c>
    </row>
    <row r="33" spans="1:20" x14ac:dyDescent="0.2">
      <c r="A33">
        <v>21</v>
      </c>
      <c r="R33" s="265"/>
      <c r="S33">
        <v>86</v>
      </c>
      <c r="T33" s="265">
        <f t="shared" si="4"/>
        <v>72.040000000000006</v>
      </c>
    </row>
    <row r="34" spans="1:20" x14ac:dyDescent="0.2">
      <c r="A34">
        <v>22</v>
      </c>
      <c r="R34" s="265"/>
      <c r="S34">
        <v>86</v>
      </c>
      <c r="T34" s="265">
        <f t="shared" si="4"/>
        <v>72.13000000000001</v>
      </c>
    </row>
    <row r="35" spans="1:20" x14ac:dyDescent="0.2">
      <c r="A35">
        <v>23</v>
      </c>
      <c r="R35" s="265"/>
      <c r="S35">
        <v>86</v>
      </c>
      <c r="T35" s="265">
        <f t="shared" si="4"/>
        <v>72.220000000000013</v>
      </c>
    </row>
    <row r="36" spans="1:20" x14ac:dyDescent="0.2">
      <c r="A36">
        <v>24</v>
      </c>
      <c r="R36" s="265"/>
      <c r="S36">
        <v>86</v>
      </c>
      <c r="T36" s="265">
        <f t="shared" si="4"/>
        <v>72.31</v>
      </c>
    </row>
    <row r="37" spans="1:20" x14ac:dyDescent="0.2">
      <c r="A37">
        <v>25</v>
      </c>
      <c r="R37" s="265"/>
      <c r="S37">
        <v>86</v>
      </c>
      <c r="T37" s="265">
        <f t="shared" si="4"/>
        <v>72.399999999999991</v>
      </c>
    </row>
    <row r="38" spans="1:20" x14ac:dyDescent="0.2">
      <c r="A38">
        <v>26</v>
      </c>
      <c r="R38" s="265"/>
      <c r="S38">
        <v>86</v>
      </c>
      <c r="T38" s="265">
        <f t="shared" si="4"/>
        <v>72.489999999999995</v>
      </c>
    </row>
    <row r="39" spans="1:20" x14ac:dyDescent="0.2">
      <c r="A39">
        <v>27</v>
      </c>
      <c r="R39" s="265"/>
      <c r="S39">
        <v>86</v>
      </c>
      <c r="T39" s="265">
        <f t="shared" si="4"/>
        <v>72.58</v>
      </c>
    </row>
    <row r="40" spans="1:20" x14ac:dyDescent="0.2">
      <c r="A40">
        <v>28</v>
      </c>
      <c r="R40" s="265"/>
      <c r="S40">
        <v>86</v>
      </c>
      <c r="T40" s="265">
        <f t="shared" si="4"/>
        <v>72.67</v>
      </c>
    </row>
    <row r="41" spans="1:20" x14ac:dyDescent="0.2">
      <c r="A41">
        <v>29</v>
      </c>
      <c r="R41" s="265"/>
      <c r="S41">
        <v>86</v>
      </c>
      <c r="T41" s="265">
        <f t="shared" si="4"/>
        <v>72.760000000000005</v>
      </c>
    </row>
    <row r="42" spans="1:20" x14ac:dyDescent="0.2">
      <c r="A42">
        <v>30</v>
      </c>
      <c r="R42" s="265"/>
      <c r="S42">
        <v>86</v>
      </c>
      <c r="T42" s="265">
        <f t="shared" si="4"/>
        <v>72.850000000000009</v>
      </c>
    </row>
    <row r="43" spans="1:20" x14ac:dyDescent="0.2">
      <c r="A43">
        <v>31</v>
      </c>
      <c r="R43" s="265"/>
      <c r="S43">
        <v>86</v>
      </c>
      <c r="T43" s="265">
        <f t="shared" si="4"/>
        <v>72.94</v>
      </c>
    </row>
    <row r="44" spans="1:20" x14ac:dyDescent="0.2">
      <c r="A44">
        <v>32</v>
      </c>
      <c r="R44" s="265"/>
      <c r="S44">
        <v>86</v>
      </c>
      <c r="T44" s="265">
        <f t="shared" si="4"/>
        <v>73.03</v>
      </c>
    </row>
    <row r="45" spans="1:20" x14ac:dyDescent="0.2">
      <c r="A45">
        <v>33</v>
      </c>
      <c r="R45" s="265"/>
      <c r="S45">
        <v>86</v>
      </c>
      <c r="T45" s="265">
        <f t="shared" si="4"/>
        <v>73.11999999999999</v>
      </c>
    </row>
    <row r="46" spans="1:20" x14ac:dyDescent="0.2">
      <c r="A46">
        <v>34</v>
      </c>
      <c r="R46" s="265"/>
      <c r="S46">
        <v>86</v>
      </c>
      <c r="T46" s="265">
        <f t="shared" si="4"/>
        <v>73.209999999999994</v>
      </c>
    </row>
    <row r="47" spans="1:20" x14ac:dyDescent="0.2">
      <c r="A47">
        <v>35</v>
      </c>
      <c r="R47" s="265"/>
      <c r="S47">
        <v>86</v>
      </c>
      <c r="T47" s="265">
        <f t="shared" si="4"/>
        <v>73.3</v>
      </c>
    </row>
    <row r="48" spans="1:20" x14ac:dyDescent="0.2">
      <c r="A48">
        <v>36</v>
      </c>
      <c r="R48" s="265"/>
      <c r="S48">
        <v>86</v>
      </c>
      <c r="T48" s="265">
        <f t="shared" si="4"/>
        <v>73.39</v>
      </c>
    </row>
    <row r="49" spans="1:20" x14ac:dyDescent="0.2">
      <c r="A49">
        <v>37</v>
      </c>
      <c r="R49" s="265"/>
      <c r="S49">
        <v>86</v>
      </c>
      <c r="T49" s="265">
        <f t="shared" si="4"/>
        <v>73.48</v>
      </c>
    </row>
    <row r="50" spans="1:20" x14ac:dyDescent="0.2">
      <c r="A50">
        <v>38</v>
      </c>
      <c r="R50" s="265"/>
      <c r="S50">
        <v>86</v>
      </c>
      <c r="T50" s="265">
        <f t="shared" si="4"/>
        <v>73.570000000000007</v>
      </c>
    </row>
    <row r="51" spans="1:20" x14ac:dyDescent="0.2">
      <c r="A51">
        <v>39</v>
      </c>
      <c r="R51" s="265"/>
      <c r="S51">
        <v>86</v>
      </c>
      <c r="T51" s="265">
        <f t="shared" si="4"/>
        <v>73.66</v>
      </c>
    </row>
    <row r="52" spans="1:20" x14ac:dyDescent="0.2">
      <c r="A52">
        <v>40</v>
      </c>
      <c r="R52" s="265"/>
      <c r="S52">
        <v>86</v>
      </c>
      <c r="T52" s="265">
        <f t="shared" si="4"/>
        <v>73.75</v>
      </c>
    </row>
    <row r="53" spans="1:20" x14ac:dyDescent="0.2">
      <c r="A53">
        <v>41</v>
      </c>
      <c r="R53" s="265"/>
      <c r="S53">
        <v>86</v>
      </c>
      <c r="T53" s="265">
        <f t="shared" si="4"/>
        <v>73.84</v>
      </c>
    </row>
    <row r="54" spans="1:20" x14ac:dyDescent="0.2">
      <c r="A54">
        <v>42</v>
      </c>
      <c r="R54" s="265"/>
      <c r="S54">
        <v>86</v>
      </c>
      <c r="T54" s="265">
        <f t="shared" si="4"/>
        <v>73.929999999999993</v>
      </c>
    </row>
    <row r="55" spans="1:20" x14ac:dyDescent="0.2">
      <c r="A55">
        <v>43</v>
      </c>
      <c r="R55" s="265"/>
      <c r="S55">
        <v>86</v>
      </c>
      <c r="T55" s="265">
        <f t="shared" si="4"/>
        <v>74.02</v>
      </c>
    </row>
    <row r="56" spans="1:20" x14ac:dyDescent="0.2">
      <c r="A56">
        <v>44</v>
      </c>
      <c r="R56" s="265"/>
      <c r="S56">
        <v>86</v>
      </c>
      <c r="T56" s="265">
        <f t="shared" si="4"/>
        <v>74.11</v>
      </c>
    </row>
    <row r="57" spans="1:20" x14ac:dyDescent="0.2">
      <c r="A57">
        <v>45</v>
      </c>
      <c r="R57" s="265"/>
      <c r="S57">
        <v>86</v>
      </c>
      <c r="T57" s="265">
        <f t="shared" si="4"/>
        <v>74.2</v>
      </c>
    </row>
    <row r="58" spans="1:20" x14ac:dyDescent="0.2">
      <c r="A58">
        <v>46</v>
      </c>
      <c r="R58" s="265"/>
      <c r="S58">
        <v>86</v>
      </c>
      <c r="T58" s="265">
        <f t="shared" si="4"/>
        <v>74.290000000000006</v>
      </c>
    </row>
    <row r="59" spans="1:20" x14ac:dyDescent="0.2">
      <c r="A59">
        <v>47</v>
      </c>
      <c r="R59" s="265"/>
      <c r="S59">
        <v>86</v>
      </c>
      <c r="T59" s="265">
        <f t="shared" si="4"/>
        <v>74.38</v>
      </c>
    </row>
    <row r="60" spans="1:20" x14ac:dyDescent="0.2">
      <c r="A60">
        <v>48</v>
      </c>
      <c r="R60" s="265"/>
      <c r="S60">
        <v>86</v>
      </c>
      <c r="T60" s="265">
        <f t="shared" si="4"/>
        <v>74.47</v>
      </c>
    </row>
    <row r="61" spans="1:20" x14ac:dyDescent="0.2">
      <c r="A61">
        <v>49</v>
      </c>
      <c r="R61" s="265"/>
      <c r="S61">
        <v>86</v>
      </c>
      <c r="T61" s="265">
        <f t="shared" si="4"/>
        <v>74.56</v>
      </c>
    </row>
    <row r="62" spans="1:20" x14ac:dyDescent="0.2">
      <c r="A62">
        <v>50</v>
      </c>
      <c r="R62" s="265"/>
      <c r="S62">
        <v>86</v>
      </c>
      <c r="T62" s="265">
        <f t="shared" si="4"/>
        <v>74.650000000000006</v>
      </c>
    </row>
    <row r="63" spans="1:20" x14ac:dyDescent="0.2">
      <c r="A63">
        <v>51</v>
      </c>
      <c r="S63">
        <v>86</v>
      </c>
      <c r="T63" s="265">
        <f t="shared" si="4"/>
        <v>74.740000000000009</v>
      </c>
    </row>
    <row r="64" spans="1:20" x14ac:dyDescent="0.2">
      <c r="A64">
        <v>52</v>
      </c>
      <c r="S64">
        <v>86</v>
      </c>
      <c r="T64" s="265">
        <f t="shared" si="4"/>
        <v>74.83</v>
      </c>
    </row>
    <row r="65" spans="1:20" x14ac:dyDescent="0.2">
      <c r="A65">
        <v>53</v>
      </c>
      <c r="S65">
        <v>86</v>
      </c>
      <c r="T65" s="265">
        <f t="shared" si="4"/>
        <v>74.92</v>
      </c>
    </row>
    <row r="66" spans="1:20" x14ac:dyDescent="0.2">
      <c r="A66">
        <v>54</v>
      </c>
      <c r="S66">
        <v>86</v>
      </c>
      <c r="T66" s="265">
        <f t="shared" si="4"/>
        <v>75.010000000000005</v>
      </c>
    </row>
    <row r="67" spans="1:20" x14ac:dyDescent="0.2">
      <c r="A67">
        <v>55</v>
      </c>
      <c r="S67">
        <v>86</v>
      </c>
      <c r="T67" s="265">
        <f t="shared" si="4"/>
        <v>75.099999999999994</v>
      </c>
    </row>
    <row r="68" spans="1:20" x14ac:dyDescent="0.2">
      <c r="A68">
        <v>56</v>
      </c>
      <c r="S68">
        <v>86</v>
      </c>
      <c r="T68" s="265">
        <f t="shared" si="4"/>
        <v>75.19</v>
      </c>
    </row>
    <row r="69" spans="1:20" x14ac:dyDescent="0.2">
      <c r="A69">
        <v>57</v>
      </c>
      <c r="S69">
        <v>86</v>
      </c>
      <c r="T69" s="265">
        <f t="shared" si="4"/>
        <v>75.28</v>
      </c>
    </row>
    <row r="70" spans="1:20" x14ac:dyDescent="0.2">
      <c r="A70">
        <v>58</v>
      </c>
      <c r="S70">
        <v>86</v>
      </c>
      <c r="T70" s="265">
        <f t="shared" si="4"/>
        <v>75.37</v>
      </c>
    </row>
    <row r="71" spans="1:20" x14ac:dyDescent="0.2">
      <c r="A71">
        <v>59</v>
      </c>
      <c r="S71">
        <v>86</v>
      </c>
      <c r="T71" s="265">
        <f t="shared" si="4"/>
        <v>75.460000000000008</v>
      </c>
    </row>
    <row r="72" spans="1:20" x14ac:dyDescent="0.2">
      <c r="A72">
        <v>60</v>
      </c>
      <c r="S72">
        <v>86</v>
      </c>
      <c r="T72" s="265">
        <f t="shared" si="4"/>
        <v>75.550000000000011</v>
      </c>
    </row>
    <row r="73" spans="1:20" x14ac:dyDescent="0.2">
      <c r="A73">
        <v>61</v>
      </c>
      <c r="S73">
        <v>86</v>
      </c>
      <c r="T73" s="265">
        <f t="shared" si="4"/>
        <v>75.64</v>
      </c>
    </row>
    <row r="74" spans="1:20" x14ac:dyDescent="0.2">
      <c r="A74">
        <v>62</v>
      </c>
      <c r="S74">
        <v>86</v>
      </c>
      <c r="T74" s="265">
        <f t="shared" si="4"/>
        <v>75.73</v>
      </c>
    </row>
    <row r="75" spans="1:20" x14ac:dyDescent="0.2">
      <c r="A75">
        <v>63</v>
      </c>
      <c r="S75">
        <v>86</v>
      </c>
      <c r="T75" s="265">
        <f t="shared" si="4"/>
        <v>75.819999999999993</v>
      </c>
    </row>
    <row r="76" spans="1:20" x14ac:dyDescent="0.2">
      <c r="A76">
        <v>64</v>
      </c>
      <c r="S76">
        <v>86</v>
      </c>
      <c r="T76" s="265">
        <f t="shared" si="4"/>
        <v>75.91</v>
      </c>
    </row>
    <row r="77" spans="1:20" x14ac:dyDescent="0.2">
      <c r="A77">
        <v>65</v>
      </c>
      <c r="S77">
        <v>86</v>
      </c>
      <c r="T77" s="265">
        <f t="shared" si="4"/>
        <v>76</v>
      </c>
    </row>
    <row r="78" spans="1:20" x14ac:dyDescent="0.2">
      <c r="A78">
        <v>66</v>
      </c>
      <c r="S78">
        <v>86</v>
      </c>
      <c r="T78" s="265">
        <f t="shared" si="4"/>
        <v>76.09</v>
      </c>
    </row>
    <row r="79" spans="1:20" x14ac:dyDescent="0.2">
      <c r="A79">
        <v>67</v>
      </c>
      <c r="S79">
        <v>86</v>
      </c>
      <c r="T79" s="265">
        <f t="shared" si="4"/>
        <v>76.180000000000007</v>
      </c>
    </row>
    <row r="80" spans="1:20" x14ac:dyDescent="0.2">
      <c r="A80">
        <v>68</v>
      </c>
      <c r="S80">
        <v>86</v>
      </c>
      <c r="T80" s="265">
        <f t="shared" si="4"/>
        <v>76.27000000000001</v>
      </c>
    </row>
    <row r="81" spans="1:20" x14ac:dyDescent="0.2">
      <c r="A81">
        <v>69</v>
      </c>
      <c r="S81">
        <v>86</v>
      </c>
      <c r="T81" s="265">
        <f t="shared" si="4"/>
        <v>76.36</v>
      </c>
    </row>
    <row r="82" spans="1:20" x14ac:dyDescent="0.2">
      <c r="A82">
        <v>70</v>
      </c>
      <c r="S82">
        <v>86</v>
      </c>
      <c r="T82" s="265">
        <f t="shared" si="4"/>
        <v>76.449999999999989</v>
      </c>
    </row>
    <row r="83" spans="1:20" x14ac:dyDescent="0.2">
      <c r="A83">
        <v>71</v>
      </c>
      <c r="S83">
        <v>86</v>
      </c>
      <c r="T83" s="265">
        <f t="shared" si="4"/>
        <v>76.539999999999992</v>
      </c>
    </row>
    <row r="84" spans="1:20" x14ac:dyDescent="0.2">
      <c r="A84">
        <v>72</v>
      </c>
      <c r="S84">
        <v>86</v>
      </c>
      <c r="T84" s="265">
        <f t="shared" si="4"/>
        <v>76.63</v>
      </c>
    </row>
    <row r="85" spans="1:20" x14ac:dyDescent="0.2">
      <c r="A85">
        <v>73</v>
      </c>
      <c r="S85">
        <v>86</v>
      </c>
      <c r="T85" s="265">
        <f t="shared" si="4"/>
        <v>76.72</v>
      </c>
    </row>
    <row r="86" spans="1:20" x14ac:dyDescent="0.2">
      <c r="A86">
        <v>74</v>
      </c>
      <c r="S86">
        <v>86</v>
      </c>
      <c r="T86" s="265">
        <f t="shared" si="4"/>
        <v>76.81</v>
      </c>
    </row>
    <row r="87" spans="1:20" x14ac:dyDescent="0.2">
      <c r="A87">
        <v>75</v>
      </c>
      <c r="S87">
        <v>86</v>
      </c>
      <c r="T87" s="265">
        <f t="shared" si="4"/>
        <v>76.900000000000006</v>
      </c>
    </row>
    <row r="88" spans="1:20" x14ac:dyDescent="0.2">
      <c r="A88">
        <v>76</v>
      </c>
      <c r="S88">
        <v>86</v>
      </c>
      <c r="T88" s="265">
        <f t="shared" si="4"/>
        <v>76.990000000000009</v>
      </c>
    </row>
    <row r="89" spans="1:20" x14ac:dyDescent="0.2">
      <c r="A89">
        <v>77</v>
      </c>
      <c r="S89">
        <v>86</v>
      </c>
      <c r="T89" s="265">
        <f t="shared" si="4"/>
        <v>77.08</v>
      </c>
    </row>
    <row r="90" spans="1:20" x14ac:dyDescent="0.2">
      <c r="A90">
        <v>78</v>
      </c>
      <c r="S90">
        <v>86</v>
      </c>
      <c r="T90" s="265">
        <f t="shared" ref="T90:T100" si="5">(A90*3*0.0003+0.7015)*100</f>
        <v>77.17</v>
      </c>
    </row>
    <row r="91" spans="1:20" x14ac:dyDescent="0.2">
      <c r="A91">
        <v>79</v>
      </c>
      <c r="S91">
        <v>86</v>
      </c>
      <c r="T91" s="265">
        <f t="shared" si="5"/>
        <v>77.259999999999991</v>
      </c>
    </row>
    <row r="92" spans="1:20" x14ac:dyDescent="0.2">
      <c r="A92">
        <v>80</v>
      </c>
      <c r="S92">
        <v>86</v>
      </c>
      <c r="T92" s="265">
        <f t="shared" si="5"/>
        <v>77.349999999999994</v>
      </c>
    </row>
    <row r="93" spans="1:20" x14ac:dyDescent="0.2">
      <c r="A93">
        <v>81</v>
      </c>
      <c r="S93">
        <v>86</v>
      </c>
      <c r="T93" s="265">
        <f t="shared" si="5"/>
        <v>77.44</v>
      </c>
    </row>
    <row r="94" spans="1:20" x14ac:dyDescent="0.2">
      <c r="A94">
        <v>82</v>
      </c>
      <c r="S94">
        <v>86</v>
      </c>
      <c r="T94" s="265">
        <f t="shared" si="5"/>
        <v>77.53</v>
      </c>
    </row>
    <row r="95" spans="1:20" x14ac:dyDescent="0.2">
      <c r="A95">
        <v>83</v>
      </c>
      <c r="S95">
        <v>86</v>
      </c>
      <c r="T95" s="265">
        <f t="shared" si="5"/>
        <v>77.62</v>
      </c>
    </row>
    <row r="96" spans="1:20" x14ac:dyDescent="0.2">
      <c r="A96">
        <v>84</v>
      </c>
      <c r="S96">
        <v>86</v>
      </c>
      <c r="T96" s="265">
        <f t="shared" si="5"/>
        <v>77.710000000000008</v>
      </c>
    </row>
    <row r="97" spans="1:20" x14ac:dyDescent="0.2">
      <c r="A97">
        <v>85</v>
      </c>
      <c r="S97">
        <v>86</v>
      </c>
      <c r="T97" s="265">
        <f t="shared" si="5"/>
        <v>77.8</v>
      </c>
    </row>
    <row r="98" spans="1:20" x14ac:dyDescent="0.2">
      <c r="A98">
        <v>86</v>
      </c>
      <c r="S98">
        <v>86</v>
      </c>
      <c r="T98" s="265">
        <f t="shared" si="5"/>
        <v>77.89</v>
      </c>
    </row>
    <row r="99" spans="1:20" x14ac:dyDescent="0.2">
      <c r="A99">
        <v>87</v>
      </c>
      <c r="S99">
        <v>86</v>
      </c>
      <c r="T99" s="265">
        <f t="shared" si="5"/>
        <v>77.98</v>
      </c>
    </row>
    <row r="100" spans="1:20" x14ac:dyDescent="0.2">
      <c r="A100">
        <v>88</v>
      </c>
      <c r="S100">
        <v>86</v>
      </c>
      <c r="T100" s="265">
        <f t="shared" si="5"/>
        <v>78.069999999999993</v>
      </c>
    </row>
    <row r="101" spans="1:20" x14ac:dyDescent="0.2">
      <c r="A101">
        <v>89</v>
      </c>
      <c r="T101" s="265"/>
    </row>
  </sheetData>
  <conditionalFormatting sqref="A2:M9 O2:XFD9">
    <cfRule type="cellIs" dxfId="1" priority="2" operator="equal">
      <formula>"true"</formula>
    </cfRule>
  </conditionalFormatting>
  <conditionalFormatting sqref="N2:N9">
    <cfRule type="cellIs" dxfId="0" priority="1" operator="equal">
      <formula>"true"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um xmlns="2868ea79-762e-44b0-83de-cd30e1be4fd6" xsi:nil="true"/>
    <TaxCatchAll xmlns="82dc10f7-46e0-428b-8685-58542c4b6dd0" xsi:nil="true"/>
    <lcf76f155ced4ddcb4097134ff3c332f xmlns="2868ea79-762e-44b0-83de-cd30e1be4fd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1E58468DF8704C9EACF73CE7B99357" ma:contentTypeVersion="17" ma:contentTypeDescription="Een nieuw document maken." ma:contentTypeScope="" ma:versionID="f0daa6309822e11b658347ac32ad2602">
  <xsd:schema xmlns:xsd="http://www.w3.org/2001/XMLSchema" xmlns:xs="http://www.w3.org/2001/XMLSchema" xmlns:p="http://schemas.microsoft.com/office/2006/metadata/properties" xmlns:ns2="2868ea79-762e-44b0-83de-cd30e1be4fd6" xmlns:ns3="82dc10f7-46e0-428b-8685-58542c4b6dd0" targetNamespace="http://schemas.microsoft.com/office/2006/metadata/properties" ma:root="true" ma:fieldsID="17c356f0da2fbf915c5209bfddc934d9" ns2:_="" ns3:_="">
    <xsd:import namespace="2868ea79-762e-44b0-83de-cd30e1be4fd6"/>
    <xsd:import namespace="82dc10f7-46e0-428b-8685-58542c4b6d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datum" minOccurs="0"/>
                <xsd:element ref="ns3:SharedWithDetails" minOccurs="0"/>
                <xsd:element ref="ns3:SharedWithUser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68ea79-762e-44b0-83de-cd30e1be4f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Afbeeldingtags" ma:readOnly="false" ma:fieldId="{5cf76f15-5ced-4ddc-b409-7134ff3c332f}" ma:taxonomyMulti="true" ma:sspId="92070ea9-783b-4bbe-88e3-045647f935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datum" ma:index="20" nillable="true" ma:displayName="datum" ma:format="DateOnly" ma:internalName="datum">
      <xsd:simpleType>
        <xsd:restriction base="dms:DateTim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dc10f7-46e0-428b-8685-58542c4b6dd0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77ee496-ac9f-42c4-90ee-658bb1d8bc28}" ma:internalName="TaxCatchAll" ma:showField="CatchAllData" ma:web="82dc10f7-46e0-428b-8685-58542c4b6dd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Details" ma:index="2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edWithUsers" ma:index="22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7F4A15-D35F-4E0E-A915-87E3D2279ADF}">
  <ds:schemaRefs>
    <ds:schemaRef ds:uri="http://schemas.microsoft.com/office/2006/metadata/properties"/>
    <ds:schemaRef ds:uri="http://schemas.microsoft.com/office/infopath/2007/PartnerControls"/>
    <ds:schemaRef ds:uri="2868ea79-762e-44b0-83de-cd30e1be4fd6"/>
    <ds:schemaRef ds:uri="82dc10f7-46e0-428b-8685-58542c4b6dd0"/>
  </ds:schemaRefs>
</ds:datastoreItem>
</file>

<file path=customXml/itemProps2.xml><?xml version="1.0" encoding="utf-8"?>
<ds:datastoreItem xmlns:ds="http://schemas.openxmlformats.org/officeDocument/2006/customXml" ds:itemID="{784FA90C-4969-4DA4-AB3F-26A207E2FF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3DC618-4270-43C4-B904-6054BDD4372E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Samenvatting</vt:lpstr>
      <vt:lpstr>Stichtingskosten</vt:lpstr>
      <vt:lpstr>Opbrengsten</vt:lpstr>
      <vt:lpstr>Blad4</vt:lpstr>
      <vt:lpstr>revit_input_test</vt:lpstr>
      <vt:lpstr>revit_input_draaitabel</vt:lpstr>
      <vt:lpstr>kleuren</vt:lpstr>
      <vt:lpstr>efficientie</vt:lpstr>
      <vt:lpstr>NIET_MEER_GEBRUIKEN</vt:lpstr>
      <vt:lpstr>draaitabel_typologie_type</vt:lpstr>
      <vt:lpstr>input_revit_groot</vt:lpstr>
      <vt:lpstr>efficientie!Print_Area</vt:lpstr>
      <vt:lpstr>NIET_MEER_GEBRUIKEN!Print_Area</vt:lpstr>
      <vt:lpstr>Opbrengsten!Print_Area</vt:lpstr>
      <vt:lpstr>Samenvatting!Print_Area</vt:lpstr>
      <vt:lpstr>Stichtingskosten!Print_Area</vt:lpstr>
      <vt:lpstr>revit_input</vt:lpstr>
      <vt:lpstr>typology_naam</vt:lpstr>
      <vt:lpstr>typology_rgb</vt:lpstr>
    </vt:vector>
  </TitlesOfParts>
  <Company>DTZ Zadelhoff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Jochem Kolthof</cp:lastModifiedBy>
  <cp:lastPrinted>2020-03-26T13:13:12Z</cp:lastPrinted>
  <dcterms:created xsi:type="dcterms:W3CDTF">2007-04-03T14:04:46Z</dcterms:created>
  <dcterms:modified xsi:type="dcterms:W3CDTF">2024-09-20T13:44:13Z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0x0101004C1E58468DF8704C9EACF73CE7B99357</vt:lpwstr>
  </property>
  <property fmtid="{D5CDD505-2E9C-101B-9397-08002B2CF9AE}" pid="4" name="MediaServiceImageTags">
    <vt:lpwstr/>
  </property>
</Properties>
</file>